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MY fies\Custom Office Templates\EDITING SAMPLE\SERVICES OVERVIEW - ALL SAMPLES\SAMPLE SECTION\"/>
    </mc:Choice>
  </mc:AlternateContent>
  <xr:revisionPtr revIDLastSave="0" documentId="8_{28BF41A2-2A67-4298-BE3E-2B6AB7E34FD6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Cover" sheetId="1" r:id="rId1"/>
    <sheet name="Raw_Data" sheetId="2" r:id="rId2"/>
    <sheet name="Issues_Identified" sheetId="3" r:id="rId3"/>
    <sheet name="Cleaning_Rules" sheetId="4" r:id="rId4"/>
    <sheet name="Cleaned_Data" sheetId="5" r:id="rId5"/>
    <sheet name="Cleaning_Log" sheetId="6" r:id="rId6"/>
    <sheet name="Summary_Dashboard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7" l="1"/>
  <c r="H12" i="7"/>
  <c r="O6" i="7"/>
  <c r="H6" i="7"/>
  <c r="E6" i="7"/>
  <c r="B6" i="7"/>
  <c r="K6" i="6"/>
  <c r="K5" i="6"/>
  <c r="K4" i="6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O5" i="7" s="1"/>
  <c r="L5" i="2"/>
  <c r="K9" i="6" s="1"/>
  <c r="K5" i="2"/>
  <c r="O4" i="7" s="1"/>
  <c r="O3" i="7" l="1"/>
  <c r="B12" i="7"/>
  <c r="K7" i="6"/>
  <c r="E12" i="7"/>
  <c r="K8" i="6"/>
  <c r="K6" i="7"/>
</calcChain>
</file>

<file path=xl/sharedStrings.xml><?xml version="1.0" encoding="utf-8"?>
<sst xmlns="http://schemas.openxmlformats.org/spreadsheetml/2006/main" count="555" uniqueCount="331">
  <si>
    <t>Sample Data Cleaning Workbook</t>
  </si>
  <si>
    <t>Research Edit4u Solutions</t>
  </si>
  <si>
    <t>Student Stress, Sleep and Academic Performance Dataset</t>
  </si>
  <si>
    <t>Website: www.researchedit4u.in</t>
  </si>
  <si>
    <t>What this sample includes
• Raw dataset snapshot
• Issue identification tracker
• Cleaning rules / SOP
• Cleaned dataset
• Cleaning log and dashboard</t>
  </si>
  <si>
    <t>Ideal deliverables for clients
• Clean dataset
• Cleaning log
• Transparent cleaning rules
• Audit-friendly issue table
• Analysis-ready final file</t>
  </si>
  <si>
    <t>Purpose of this sample: demonstrate how Research Edit4u Solutions converts a messy survey file into a clean, consistent and analysis-ready dataset while keeping a transparent log of every major rule applied.</t>
  </si>
  <si>
    <t>Prepared as a client-facing demonstration sample</t>
  </si>
  <si>
    <t>Raw Dataset Snapshot (Messy Client File)</t>
  </si>
  <si>
    <t>Sample objective:</t>
  </si>
  <si>
    <t>Assess the relationship between sleep, stress and academic performance among university students.</t>
  </si>
  <si>
    <t>Respondent_ID</t>
  </si>
  <si>
    <t>Student_Name</t>
  </si>
  <si>
    <t>Gender</t>
  </si>
  <si>
    <t>Age</t>
  </si>
  <si>
    <t>Survey_Date</t>
  </si>
  <si>
    <t>Sleep_Hours</t>
  </si>
  <si>
    <t>Stress_Score</t>
  </si>
  <si>
    <t>Attendance_%</t>
  </si>
  <si>
    <t>GPA</t>
  </si>
  <si>
    <t>Email</t>
  </si>
  <si>
    <t>Duplicate_Flag</t>
  </si>
  <si>
    <t>Missing_Field_Count</t>
  </si>
  <si>
    <t>Outlier_Flag</t>
  </si>
  <si>
    <t>ST001</t>
  </si>
  <si>
    <t>Aarav Mehta</t>
  </si>
  <si>
    <t>Male</t>
  </si>
  <si>
    <t>12/02/2025</t>
  </si>
  <si>
    <t>aarav@uni.edu</t>
  </si>
  <si>
    <t>ST002</t>
  </si>
  <si>
    <t>Diya Sharma</t>
  </si>
  <si>
    <t>female</t>
  </si>
  <si>
    <t>2025-02-13</t>
  </si>
  <si>
    <t xml:space="preserve">diya@uni.edu </t>
  </si>
  <si>
    <t>ST003</t>
  </si>
  <si>
    <t>Rohan  Iyer</t>
  </si>
  <si>
    <t>M</t>
  </si>
  <si>
    <t>Feb 14 2025</t>
  </si>
  <si>
    <t>rohan.iyer@uni.edu</t>
  </si>
  <si>
    <t>ST004</t>
  </si>
  <si>
    <t>Neha Kapoor</t>
  </si>
  <si>
    <t>F</t>
  </si>
  <si>
    <t>15-02-2025</t>
  </si>
  <si>
    <t>neha@uni.edu</t>
  </si>
  <si>
    <t>ST005</t>
  </si>
  <si>
    <t>Kabir Singh</t>
  </si>
  <si>
    <t>male</t>
  </si>
  <si>
    <t>2025/02/16</t>
  </si>
  <si>
    <t>kabir@uni.edu</t>
  </si>
  <si>
    <t>ST006</t>
  </si>
  <si>
    <t>Ishita Rao</t>
  </si>
  <si>
    <t>Female</t>
  </si>
  <si>
    <t>17 Feb 2025</t>
  </si>
  <si>
    <t/>
  </si>
  <si>
    <t>ishita@uni.edu</t>
  </si>
  <si>
    <t>ST007</t>
  </si>
  <si>
    <t>Arjun Das</t>
  </si>
  <si>
    <t xml:space="preserve"> Male </t>
  </si>
  <si>
    <t>18/02/25</t>
  </si>
  <si>
    <t>arjun@uni.edu</t>
  </si>
  <si>
    <t>ST008</t>
  </si>
  <si>
    <t>Sara Khan</t>
  </si>
  <si>
    <t>2025.02.19</t>
  </si>
  <si>
    <t>sara@uni.edu</t>
  </si>
  <si>
    <t>ST009</t>
  </si>
  <si>
    <t>Vihaan Roy</t>
  </si>
  <si>
    <t>20 Feb, 2025</t>
  </si>
  <si>
    <t>vihaan@uni.edu</t>
  </si>
  <si>
    <t>ST010</t>
  </si>
  <si>
    <t>Ananya Sen</t>
  </si>
  <si>
    <t>21/02/2025</t>
  </si>
  <si>
    <t>ananya@uni.edu</t>
  </si>
  <si>
    <t>ST011</t>
  </si>
  <si>
    <t>Rahul Jain</t>
  </si>
  <si>
    <t>2025-02-22</t>
  </si>
  <si>
    <t>rahul@uni.edu</t>
  </si>
  <si>
    <t>ST012</t>
  </si>
  <si>
    <t>Pooja Nair</t>
  </si>
  <si>
    <t>23-02-2025</t>
  </si>
  <si>
    <t>pooja@uni.edu</t>
  </si>
  <si>
    <t>ST013</t>
  </si>
  <si>
    <t>Dev Patel</t>
  </si>
  <si>
    <t>24/02/2025</t>
  </si>
  <si>
    <t>dev@uni.edu</t>
  </si>
  <si>
    <t>ST014</t>
  </si>
  <si>
    <t>Mira Thomas</t>
  </si>
  <si>
    <t>2025/02/25</t>
  </si>
  <si>
    <t>mira@uni.edu</t>
  </si>
  <si>
    <t>ST015</t>
  </si>
  <si>
    <t>Nikhil Bose</t>
  </si>
  <si>
    <t>26 Feb 2025</t>
  </si>
  <si>
    <t>nikhil@uni.edu</t>
  </si>
  <si>
    <t>ST016</t>
  </si>
  <si>
    <t>Zoya Ali</t>
  </si>
  <si>
    <t>27/02/2025</t>
  </si>
  <si>
    <t>ST017</t>
  </si>
  <si>
    <t>Karan Gill</t>
  </si>
  <si>
    <t>28-02-2025</t>
  </si>
  <si>
    <t>karan@uni.edu</t>
  </si>
  <si>
    <t>ST018</t>
  </si>
  <si>
    <t>Tanya Paul</t>
  </si>
  <si>
    <t>01/03/2025</t>
  </si>
  <si>
    <t>tanya@uni.edu</t>
  </si>
  <si>
    <t>ST019</t>
  </si>
  <si>
    <t>Reyansh Verma</t>
  </si>
  <si>
    <t xml:space="preserve"> Male</t>
  </si>
  <si>
    <t>2025-03-02</t>
  </si>
  <si>
    <t>reyansh@uni.edu</t>
  </si>
  <si>
    <t>ST020</t>
  </si>
  <si>
    <t>Ira Joshi</t>
  </si>
  <si>
    <t>03 Mar 2025</t>
  </si>
  <si>
    <t>ira@uni.edu</t>
  </si>
  <si>
    <t>ST021</t>
  </si>
  <si>
    <t>Aditya Rao</t>
  </si>
  <si>
    <t>04/03/25</t>
  </si>
  <si>
    <t>aditya@uni.edu</t>
  </si>
  <si>
    <t>ST022</t>
  </si>
  <si>
    <t>Meera Bhat</t>
  </si>
  <si>
    <t>2025.03.05</t>
  </si>
  <si>
    <t>meera@uni.edu</t>
  </si>
  <si>
    <t>ST023</t>
  </si>
  <si>
    <t>Samar Khurana</t>
  </si>
  <si>
    <t>06-03-2025</t>
  </si>
  <si>
    <t>samar@uni.edu</t>
  </si>
  <si>
    <t>ST024</t>
  </si>
  <si>
    <t>Ria Dsouza</t>
  </si>
  <si>
    <t>07/03/2025</t>
  </si>
  <si>
    <t>ria@uni.edu</t>
  </si>
  <si>
    <t>Issue Identification Tracker</t>
  </si>
  <si>
    <t>Variable</t>
  </si>
  <si>
    <t>Issue Type</t>
  </si>
  <si>
    <t>Rule / Threshold</t>
  </si>
  <si>
    <t>Example from Raw Data</t>
  </si>
  <si>
    <t>Risk if Ignored</t>
  </si>
  <si>
    <t>Action Taken</t>
  </si>
  <si>
    <t>Status</t>
  </si>
  <si>
    <t>Duplicate record</t>
  </si>
  <si>
    <t>1 unique row per respondent</t>
  </si>
  <si>
    <t>ST011 repeated twice</t>
  </si>
  <si>
    <t>Inflates sample size</t>
  </si>
  <si>
    <t>Retained one verified row and removed duplicate copy</t>
  </si>
  <si>
    <t>Resolved</t>
  </si>
  <si>
    <t>Inconsistent categorical labels</t>
  </si>
  <si>
    <t>Use Male / Female only</t>
  </si>
  <si>
    <t>Male, male, M, F, female</t>
  </si>
  <si>
    <t>Category splits in analysis</t>
  </si>
  <si>
    <t>Standardized all entries to Male or Female</t>
  </si>
  <si>
    <t>Impossible / out-of-scope values</t>
  </si>
  <si>
    <t>Allowed range: 18–60 years</t>
  </si>
  <si>
    <t>210, 17, blank</t>
  </si>
  <si>
    <t>Biased descriptive statistics</t>
  </si>
  <si>
    <t>Invalid values set to blank for review</t>
  </si>
  <si>
    <t>Mixed date formats</t>
  </si>
  <si>
    <t>Convert to DD-MMM-YYYY</t>
  </si>
  <si>
    <t>12/02/2025, 2025.02.19, Feb 14 2025</t>
  </si>
  <si>
    <t>Sorting and time filters fail</t>
  </si>
  <si>
    <t>Standardized all dates to a single format</t>
  </si>
  <si>
    <t>Outlier values</t>
  </si>
  <si>
    <t>Allowed range: 3–12 hours</t>
  </si>
  <si>
    <t>25, 0, blank</t>
  </si>
  <si>
    <t>Skews mean and regression</t>
  </si>
  <si>
    <t>Outliers set to blank; genuine missing retained</t>
  </si>
  <si>
    <t>Allowed range: 1–10</t>
  </si>
  <si>
    <t>15, -1</t>
  </si>
  <si>
    <t>False variation in scale</t>
  </si>
  <si>
    <t>Invalid scores set to blank</t>
  </si>
  <si>
    <t>Allowed range: 0–100%</t>
  </si>
  <si>
    <t>108, -5</t>
  </si>
  <si>
    <t>Invalid attendance distribution</t>
  </si>
  <si>
    <t>Invalid percentages set to blank</t>
  </si>
  <si>
    <t>Outlier values / missing</t>
  </si>
  <si>
    <t>Allowed range: 0–4</t>
  </si>
  <si>
    <t>4.8, -0.5, blank</t>
  </si>
  <si>
    <t>Unusable performance indicator</t>
  </si>
  <si>
    <t>Invalid values set to blank</t>
  </si>
  <si>
    <t>Whitespace / missing</t>
  </si>
  <si>
    <t>Trim spaces; blank if unavailable</t>
  </si>
  <si>
    <t>diya@uni.edu , blank</t>
  </si>
  <si>
    <t>Contact field inconsistency</t>
  </si>
  <si>
    <t>Trimmed spaces and retained missing as blank</t>
  </si>
  <si>
    <t>Extra spaces</t>
  </si>
  <si>
    <t>Trim internal leading/trailing spaces</t>
  </si>
  <si>
    <t xml:space="preserve">Rohan  Iyer,  Male </t>
  </si>
  <si>
    <t>Join / lookup issues</t>
  </si>
  <si>
    <t>Whitespace normalized</t>
  </si>
  <si>
    <t>Cleaning Rules / Standard Operating Procedure</t>
  </si>
  <si>
    <t>Step</t>
  </si>
  <si>
    <t>Category</t>
  </si>
  <si>
    <t>Rule</t>
  </si>
  <si>
    <t>Why it matters</t>
  </si>
  <si>
    <t>Applied?</t>
  </si>
  <si>
    <t>Notes</t>
  </si>
  <si>
    <t>File integrity</t>
  </si>
  <si>
    <t>Preserve original raw file unchanged before making any edits.</t>
  </si>
  <si>
    <t>Maintains audit trail and reproducibility.</t>
  </si>
  <si>
    <t>Yes</t>
  </si>
  <si>
    <t>Raw_Data sheet kept separate.</t>
  </si>
  <si>
    <t>Duplicates</t>
  </si>
  <si>
    <t>Check unique Respondent_ID values and remove duplicated records after verification.</t>
  </si>
  <si>
    <t>Prevents inflated sample size.</t>
  </si>
  <si>
    <t>One duplicate row removed.</t>
  </si>
  <si>
    <t>Whitespace</t>
  </si>
  <si>
    <t>Trim leading/trailing spaces in names, gender values and email fields.</t>
  </si>
  <si>
    <t>Improves joins, filters and visual consistency.</t>
  </si>
  <si>
    <t>Applied to text fields.</t>
  </si>
  <si>
    <t>Categories</t>
  </si>
  <si>
    <t>Standardize gender coding to Male / Female only.</t>
  </si>
  <si>
    <t>Prevents split categories in charts/tables.</t>
  </si>
  <si>
    <t>M/F/male/female normalized.</t>
  </si>
  <si>
    <t>Dates</t>
  </si>
  <si>
    <t>Convert all survey dates to DD-MMM-YYYY.</t>
  </si>
  <si>
    <t>Ensures proper sorting and time analysis.</t>
  </si>
  <si>
    <t>All retained rows standardized.</t>
  </si>
  <si>
    <t>Range checks</t>
  </si>
  <si>
    <t>Flag impossible values based on approved thresholds.</t>
  </si>
  <si>
    <t>Protects descriptive statistics and models.</t>
  </si>
  <si>
    <t>Age, sleep, stress, attendance and GPA checked.</t>
  </si>
  <si>
    <t>Missing values</t>
  </si>
  <si>
    <t>Retain missing data as blank unless replacement rule is provided by client.</t>
  </si>
  <si>
    <t>Avoids ungrounded assumptions.</t>
  </si>
  <si>
    <t>No imputation used in this sample.</t>
  </si>
  <si>
    <t>Final validation</t>
  </si>
  <si>
    <t>Review cleaned sheet for consistency, duplicates and obvious errors.</t>
  </si>
  <si>
    <t>Delivers analysis-ready output.</t>
  </si>
  <si>
    <t>All key checks completed.</t>
  </si>
  <si>
    <t>Cleaned Dataset (Analysis-Ready)</t>
  </si>
  <si>
    <t>Cleaning note:</t>
  </si>
  <si>
    <t>Duplicate copy removed; invalid or impossible values converted to blanks; dates and categories standardized.</t>
  </si>
  <si>
    <t>Cleaning_Notes</t>
  </si>
  <si>
    <t>12-Feb-2025</t>
  </si>
  <si>
    <t>Valid record retained</t>
  </si>
  <si>
    <t>13-Feb-2025</t>
  </si>
  <si>
    <t>diya@uni.edu</t>
  </si>
  <si>
    <t>Email trimmed; gender standardized</t>
  </si>
  <si>
    <t>Rohan Iyer</t>
  </si>
  <si>
    <t>14-Feb-2025</t>
  </si>
  <si>
    <t>15-Feb-2025</t>
  </si>
  <si>
    <t>Gender standardized</t>
  </si>
  <si>
    <t>16-Feb-2025</t>
  </si>
  <si>
    <t>Invalid age cleared</t>
  </si>
  <si>
    <t>17-Feb-2025</t>
  </si>
  <si>
    <t>Missing sleep retained blank</t>
  </si>
  <si>
    <t>18-Feb-2025</t>
  </si>
  <si>
    <t>Sleep outlier cleared</t>
  </si>
  <si>
    <t>19-Feb-2025</t>
  </si>
  <si>
    <t>Stress outlier cleared</t>
  </si>
  <si>
    <t>20-Feb-2025</t>
  </si>
  <si>
    <t>Sleep and attendance outliers cleared</t>
  </si>
  <si>
    <t>21-Feb-2025</t>
  </si>
  <si>
    <t>Attendance outlier cleared</t>
  </si>
  <si>
    <t>22-Feb-2025</t>
  </si>
  <si>
    <t>One duplicate removed; age missing retained</t>
  </si>
  <si>
    <t>23-Feb-2025</t>
  </si>
  <si>
    <t>24-Feb-2025</t>
  </si>
  <si>
    <t>GPA outlier cleared</t>
  </si>
  <si>
    <t>25-Feb-2025</t>
  </si>
  <si>
    <t>Date standardized</t>
  </si>
  <si>
    <t>26-Feb-2025</t>
  </si>
  <si>
    <t>Underage value cleared</t>
  </si>
  <si>
    <t>27-Feb-2025</t>
  </si>
  <si>
    <t>Missing email retained blank</t>
  </si>
  <si>
    <t>28-Feb-2025</t>
  </si>
  <si>
    <t>Valid boundary values retained</t>
  </si>
  <si>
    <t>01-Mar-2025</t>
  </si>
  <si>
    <t>Invalid GPA cleared</t>
  </si>
  <si>
    <t>02-Mar-2025</t>
  </si>
  <si>
    <t>03-Mar-2025</t>
  </si>
  <si>
    <t>04-Mar-2025</t>
  </si>
  <si>
    <t>05-Mar-2025</t>
  </si>
  <si>
    <t>Missing GPA retained blank</t>
  </si>
  <si>
    <t>06-Mar-2025</t>
  </si>
  <si>
    <t>07-Mar-2025</t>
  </si>
  <si>
    <t>Cleaning Log</t>
  </si>
  <si>
    <t>Log_ID</t>
  </si>
  <si>
    <t>Field</t>
  </si>
  <si>
    <t>Issue</t>
  </si>
  <si>
    <t>Action</t>
  </si>
  <si>
    <t>Rows Affected</t>
  </si>
  <si>
    <t>Rule Ref</t>
  </si>
  <si>
    <t>Checked By</t>
  </si>
  <si>
    <t>Outcome</t>
  </si>
  <si>
    <t>Metric</t>
  </si>
  <si>
    <t>Formula / Value</t>
  </si>
  <si>
    <t>Removed second verified duplicate copy for ST011</t>
  </si>
  <si>
    <t>Rule 2</t>
  </si>
  <si>
    <t>Sample QA</t>
  </si>
  <si>
    <t>Closed</t>
  </si>
  <si>
    <t>Total raw records</t>
  </si>
  <si>
    <t>Inconsistent coding</t>
  </si>
  <si>
    <t>Mapped M/male/F/female variants to Male/Female</t>
  </si>
  <si>
    <t>Rule 4</t>
  </si>
  <si>
    <t>Final clean records</t>
  </si>
  <si>
    <t>Student_Name / Email</t>
  </si>
  <si>
    <t>Whitespace inconsistency</t>
  </si>
  <si>
    <t>Trimmed leading, trailing and double spaces</t>
  </si>
  <si>
    <t>Rule 3</t>
  </si>
  <si>
    <t>Rows removed</t>
  </si>
  <si>
    <t>Converted retained dates to DD-MMM-YYYY</t>
  </si>
  <si>
    <t>Rule 5</t>
  </si>
  <si>
    <t>Rows with duplicate flag</t>
  </si>
  <si>
    <t>Invalid values / missing</t>
  </si>
  <si>
    <t>Cleared age values outside approved range</t>
  </si>
  <si>
    <t>Rule 6</t>
  </si>
  <si>
    <t>Rows with outlier flag</t>
  </si>
  <si>
    <t>Outlier / missing</t>
  </si>
  <si>
    <t>Cleared impossible values; retained missing as blank</t>
  </si>
  <si>
    <t>Missing fields in raw file</t>
  </si>
  <si>
    <t>Cleared invalid scores outside 1–10</t>
  </si>
  <si>
    <t>Cleared invalid attendance values outside 0–100</t>
  </si>
  <si>
    <t>Cleared invalid GPA values outside 0–4</t>
  </si>
  <si>
    <t>Post-clean review</t>
  </si>
  <si>
    <t>Checked duplicate status, variable formats and blanks</t>
  </si>
  <si>
    <t>Rule 8</t>
  </si>
  <si>
    <t>Data Cleaning Summary Dashboard</t>
  </si>
  <si>
    <t>Value</t>
  </si>
  <si>
    <t>Research Edit4u Solutions | www.researchedit4u.in</t>
  </si>
  <si>
    <t>Missing Fields</t>
  </si>
  <si>
    <t>Duplicate Flags</t>
  </si>
  <si>
    <t>Total Raw Records</t>
  </si>
  <si>
    <t>Final Clean Records</t>
  </si>
  <si>
    <t>Rows Removed</t>
  </si>
  <si>
    <t>Missing Fields (Raw)</t>
  </si>
  <si>
    <t>Outlier Flags</t>
  </si>
  <si>
    <t>Usable Record Rate</t>
  </si>
  <si>
    <t>Variables Standardized</t>
  </si>
  <si>
    <t>Metric Notes</t>
  </si>
  <si>
    <t>Interpretation</t>
  </si>
  <si>
    <t>Total blank cells detected in the raw file before any cleaning.</t>
  </si>
  <si>
    <t>Counts rows sharing the same Respondent_ID in the raw dataset.</t>
  </si>
  <si>
    <t>Counts rows where at least one key numeric variable failed range checks.</t>
  </si>
  <si>
    <t>Final cleaned records divided by total raw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</si>
</sst>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24"/>
      <color rgb="FF1E3F73"/>
      <name val="Aptos"/>
    </font>
    <font>
      <b/>
      <sz val="22"/>
      <color rgb="FF1E3F73"/>
      <name val="Aptos"/>
    </font>
    <font>
      <i/>
      <sz val="13"/>
      <color rgb="FF4A5568"/>
      <name val="Aptos"/>
    </font>
    <font>
      <u/>
      <sz val="12"/>
      <color rgb="FF2F5C99"/>
      <name val="Aptos"/>
    </font>
    <font>
      <sz val="11"/>
      <color rgb="FF000000"/>
      <name val="Aptos"/>
    </font>
    <font>
      <i/>
      <sz val="10"/>
      <color rgb="FF4A5568"/>
      <name val="Aptos"/>
    </font>
    <font>
      <b/>
      <sz val="16"/>
      <color rgb="FF1E3F73"/>
      <name val="Aptos"/>
    </font>
    <font>
      <b/>
      <sz val="12"/>
      <color rgb="FF1E3F73"/>
      <name val="Aptos"/>
    </font>
    <font>
      <b/>
      <sz val="11"/>
      <color rgb="FFFFFFFF"/>
      <name val="Aptos"/>
    </font>
    <font>
      <b/>
      <sz val="18"/>
      <color rgb="FF1E3F73"/>
      <name val="Aptos"/>
    </font>
    <font>
      <u/>
      <sz val="11"/>
      <color rgb="FF2F5C99"/>
      <name val="Aptos"/>
    </font>
    <font>
      <b/>
      <sz val="11"/>
      <color rgb="FF4A5568"/>
      <name val="Aptos"/>
    </font>
    <font>
      <b/>
      <sz val="20"/>
      <color rgb="FF1E3F73"/>
      <name val="Aptos"/>
    </font>
  </fonts>
  <fills count="11">
    <fill>
      <patternFill patternType="none"/>
    </fill>
    <fill>
      <patternFill patternType="gray125"/>
    </fill>
    <fill>
      <patternFill patternType="solid">
        <fgColor rgb="FFDCE8F6"/>
      </patternFill>
    </fill>
    <fill>
      <patternFill patternType="solid">
        <fgColor rgb="FFF4F6F8"/>
      </patternFill>
    </fill>
    <fill>
      <patternFill patternType="solid">
        <fgColor rgb="FF1E3F73"/>
      </patternFill>
    </fill>
    <fill>
      <patternFill patternType="solid">
        <fgColor rgb="FFE8F5E9"/>
      </patternFill>
    </fill>
    <fill>
      <patternFill patternType="solid">
        <fgColor rgb="FFFFF5D6"/>
      </patternFill>
    </fill>
    <fill>
      <patternFill patternType="solid">
        <fgColor rgb="FFF8EAFB"/>
      </patternFill>
    </fill>
    <fill>
      <patternFill patternType="solid">
        <fgColor rgb="FFFDECEC"/>
      </patternFill>
    </fill>
    <fill>
      <patternFill patternType="solid">
        <fgColor rgb="FFFFE8D9"/>
      </patternFill>
    </fill>
    <fill>
      <patternFill patternType="solid">
        <fgColor rgb="FFE6F7F3"/>
      </patternFill>
    </fill>
  </fills>
  <borders count="3">
    <border>
      <left/>
      <right/>
      <top/>
      <bottom/>
      <diagonal/>
    </border>
    <border>
      <left style="thin">
        <color rgb="FFD9E0E7"/>
      </left>
      <right style="thin">
        <color rgb="FFD9E0E7"/>
      </right>
      <top style="thin">
        <color rgb="FFD9E0E7"/>
      </top>
      <bottom style="thin">
        <color rgb="FFD9E0E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8" fillId="0" borderId="0" xfId="0" applyFont="1"/>
    <xf numFmtId="0" fontId="9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/>
    <xf numFmtId="0" fontId="0" fillId="0" borderId="2" xfId="0" applyBorder="1"/>
    <xf numFmtId="0" fontId="4" fillId="0" borderId="2" xfId="0" applyFont="1" applyBorder="1"/>
    <xf numFmtId="0" fontId="6" fillId="0" borderId="2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7" fillId="2" borderId="0" xfId="0" applyFont="1" applyFill="1" applyAlignment="1">
      <alignment horizontal="center"/>
    </xf>
    <xf numFmtId="1" fontId="13" fillId="9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1" fontId="13" fillId="8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 wrapText="1"/>
    </xf>
    <xf numFmtId="1" fontId="13" fillId="6" borderId="1" xfId="0" applyNumberFormat="1" applyFont="1" applyFill="1" applyBorder="1" applyAlignment="1">
      <alignment horizontal="center" vertical="center" wrapText="1"/>
    </xf>
    <xf numFmtId="165" fontId="12" fillId="2" borderId="1" xfId="0" applyNumberFormat="1" applyFont="1" applyFill="1" applyBorder="1" applyAlignment="1">
      <alignment horizontal="center" vertical="center" wrapText="1"/>
    </xf>
    <xf numFmtId="1" fontId="13" fillId="10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F4D6"/>
        </patternFill>
      </fill>
    </dxf>
    <dxf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r>
              <a:rPr lang="en-IN"/>
              <a:t>Cleaning Work Summary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Summary_Dashboard!$O$2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Summary_Dashboard!$N$3:$N$6</c:f>
              <c:strCache>
                <c:ptCount val="4"/>
                <c:pt idx="0">
                  <c:v>Missing Fields</c:v>
                </c:pt>
                <c:pt idx="1">
                  <c:v>Duplicate Flags</c:v>
                </c:pt>
                <c:pt idx="2">
                  <c:v>Outlier Flags</c:v>
                </c:pt>
                <c:pt idx="3">
                  <c:v>Rows Removed</c:v>
                </c:pt>
              </c:strCache>
            </c:strRef>
          </c:cat>
          <c:val>
            <c:numRef>
              <c:f>Summary_Dashboard!$O$3:$O$6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E-4AF5-BD4A-E883AF47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3619500" cy="1333500"/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13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0"/>
  <sheetViews>
    <sheetView showGridLines="0" topLeftCell="A32" workbookViewId="0"/>
  </sheetViews>
  <sheetFormatPr defaultRowHeight="14.4" x14ac:dyDescent="0.3"/>
  <cols>
    <col min="1" max="1" width="4" customWidth="1"/>
    <col min="2" max="10" width="16" customWidth="1"/>
  </cols>
  <sheetData>
    <row r="1" spans="2:10" ht="24" customHeight="1" x14ac:dyDescent="0.3"/>
    <row r="2" spans="2:10" ht="24" customHeight="1" x14ac:dyDescent="0.3">
      <c r="B2" s="21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24" customHeight="1" x14ac:dyDescent="0.3">
      <c r="B3" s="22"/>
      <c r="C3" s="22"/>
      <c r="D3" s="22"/>
      <c r="E3" s="22"/>
      <c r="F3" s="22"/>
      <c r="G3" s="22"/>
      <c r="H3" s="22"/>
      <c r="I3" s="22"/>
      <c r="J3" s="22"/>
    </row>
    <row r="4" spans="2:10" ht="24" customHeight="1" x14ac:dyDescent="0.3">
      <c r="B4" s="17"/>
      <c r="C4" s="17"/>
      <c r="D4" s="17"/>
      <c r="E4" s="17"/>
      <c r="F4" s="17"/>
      <c r="G4" s="17"/>
      <c r="H4" s="17"/>
      <c r="I4" s="17"/>
      <c r="J4" s="17"/>
    </row>
    <row r="5" spans="2:10" ht="24" customHeight="1" x14ac:dyDescent="0.3">
      <c r="B5" s="17"/>
      <c r="C5" s="17"/>
      <c r="D5" s="17"/>
      <c r="E5" s="17"/>
      <c r="F5" s="17"/>
      <c r="G5" s="17"/>
      <c r="H5" s="17"/>
      <c r="I5" s="17"/>
      <c r="J5" s="17"/>
    </row>
    <row r="6" spans="2:10" ht="24" customHeight="1" x14ac:dyDescent="0.3">
      <c r="B6" s="17"/>
      <c r="C6" s="17"/>
      <c r="D6" s="17"/>
      <c r="E6" s="17"/>
      <c r="F6" s="17"/>
      <c r="G6" s="17"/>
      <c r="H6" s="17"/>
      <c r="I6" s="17"/>
      <c r="J6" s="17"/>
    </row>
    <row r="7" spans="2:10" ht="24" customHeight="1" x14ac:dyDescent="0.3">
      <c r="B7" s="17"/>
      <c r="C7" s="17"/>
      <c r="D7" s="17"/>
      <c r="E7" s="17"/>
      <c r="F7" s="17"/>
      <c r="G7" s="17"/>
      <c r="H7" s="17"/>
      <c r="I7" s="17"/>
      <c r="J7" s="17"/>
    </row>
    <row r="8" spans="2:10" ht="24" customHeight="1" x14ac:dyDescent="0.3">
      <c r="B8" s="17"/>
      <c r="C8" s="17"/>
      <c r="D8" s="17"/>
      <c r="E8" s="17"/>
      <c r="F8" s="17"/>
      <c r="G8" s="17"/>
      <c r="H8" s="17"/>
      <c r="I8" s="17"/>
      <c r="J8" s="17"/>
    </row>
    <row r="9" spans="2:10" ht="24" customHeight="1" x14ac:dyDescent="0.3">
      <c r="B9" s="17"/>
      <c r="C9" s="17"/>
      <c r="D9" s="17"/>
      <c r="E9" s="17"/>
      <c r="F9" s="17"/>
      <c r="G9" s="17"/>
      <c r="H9" s="17"/>
      <c r="I9" s="17"/>
      <c r="J9" s="17"/>
    </row>
    <row r="10" spans="2:10" ht="24" customHeight="1" x14ac:dyDescent="0.3">
      <c r="B10" s="17"/>
      <c r="C10" s="17"/>
      <c r="D10" s="17"/>
      <c r="E10" s="17"/>
      <c r="F10" s="17"/>
      <c r="G10" s="17"/>
      <c r="H10" s="17"/>
      <c r="I10" s="17"/>
      <c r="J10" s="17"/>
    </row>
    <row r="11" spans="2:10" ht="24" customHeight="1" x14ac:dyDescent="0.3">
      <c r="B11" s="17"/>
      <c r="C11" s="17"/>
      <c r="D11" s="17"/>
      <c r="E11" s="17"/>
      <c r="F11" s="17"/>
      <c r="G11" s="17"/>
      <c r="H11" s="17"/>
      <c r="I11" s="17"/>
      <c r="J11" s="17"/>
    </row>
    <row r="12" spans="2:10" ht="24" customHeight="1" x14ac:dyDescent="0.55000000000000004">
      <c r="B12" s="27" t="s">
        <v>1</v>
      </c>
      <c r="C12" s="22"/>
      <c r="D12" s="22"/>
      <c r="E12" s="22"/>
      <c r="F12" s="22"/>
      <c r="G12" s="22"/>
      <c r="H12" s="22"/>
      <c r="I12" s="22"/>
      <c r="J12" s="22"/>
    </row>
    <row r="13" spans="2:10" ht="24" customHeight="1" x14ac:dyDescent="0.35">
      <c r="B13" s="28" t="s">
        <v>2</v>
      </c>
      <c r="C13" s="22"/>
      <c r="D13" s="22"/>
      <c r="E13" s="22"/>
      <c r="F13" s="22"/>
      <c r="G13" s="22"/>
      <c r="H13" s="22"/>
      <c r="I13" s="22"/>
      <c r="J13" s="22"/>
    </row>
    <row r="14" spans="2:10" ht="24" customHeight="1" x14ac:dyDescent="0.3">
      <c r="B14" s="24" t="s">
        <v>3</v>
      </c>
      <c r="C14" s="22"/>
      <c r="D14" s="22"/>
      <c r="E14" s="22"/>
      <c r="F14" s="22"/>
      <c r="G14" s="22"/>
      <c r="H14" s="22"/>
      <c r="I14" s="22"/>
      <c r="J14" s="22"/>
    </row>
    <row r="15" spans="2:10" ht="24" customHeight="1" x14ac:dyDescent="0.3">
      <c r="B15" s="18"/>
      <c r="C15" s="17"/>
      <c r="D15" s="17"/>
      <c r="E15" s="17"/>
      <c r="F15" s="17"/>
      <c r="G15" s="17"/>
      <c r="H15" s="17"/>
      <c r="I15" s="17"/>
      <c r="J15" s="17"/>
    </row>
    <row r="16" spans="2:10" ht="24" customHeight="1" x14ac:dyDescent="0.3">
      <c r="B16" s="23" t="s">
        <v>4</v>
      </c>
      <c r="C16" s="22"/>
      <c r="D16" s="22"/>
      <c r="E16" s="22"/>
      <c r="F16" s="23" t="s">
        <v>5</v>
      </c>
      <c r="G16" s="22"/>
      <c r="H16" s="22"/>
      <c r="I16" s="22"/>
      <c r="J16" s="22"/>
    </row>
    <row r="17" spans="2:10" ht="24" customHeight="1" x14ac:dyDescent="0.3">
      <c r="B17" s="22"/>
      <c r="C17" s="22"/>
      <c r="D17" s="22"/>
      <c r="E17" s="22"/>
      <c r="F17" s="22"/>
      <c r="G17" s="22"/>
      <c r="H17" s="22"/>
      <c r="I17" s="22"/>
      <c r="J17" s="22"/>
    </row>
    <row r="18" spans="2:10" ht="24" customHeight="1" x14ac:dyDescent="0.3">
      <c r="B18" s="22"/>
      <c r="C18" s="22"/>
      <c r="D18" s="22"/>
      <c r="E18" s="22"/>
      <c r="F18" s="22"/>
      <c r="G18" s="22"/>
      <c r="H18" s="22"/>
      <c r="I18" s="22"/>
      <c r="J18" s="22"/>
    </row>
    <row r="19" spans="2:10" ht="24" customHeight="1" x14ac:dyDescent="0.3">
      <c r="B19" s="22"/>
      <c r="C19" s="22"/>
      <c r="D19" s="22"/>
      <c r="E19" s="22"/>
      <c r="F19" s="22"/>
      <c r="G19" s="22"/>
      <c r="H19" s="22"/>
      <c r="I19" s="22"/>
      <c r="J19" s="22"/>
    </row>
    <row r="20" spans="2:10" ht="24" customHeight="1" x14ac:dyDescent="0.3">
      <c r="B20" s="22"/>
      <c r="C20" s="22"/>
      <c r="D20" s="22"/>
      <c r="E20" s="22"/>
      <c r="F20" s="22"/>
      <c r="G20" s="22"/>
      <c r="H20" s="22"/>
      <c r="I20" s="22"/>
      <c r="J20" s="22"/>
    </row>
    <row r="21" spans="2:10" ht="24" customHeight="1" x14ac:dyDescent="0.3">
      <c r="B21" s="22"/>
      <c r="C21" s="22"/>
      <c r="D21" s="22"/>
      <c r="E21" s="22"/>
      <c r="F21" s="22"/>
      <c r="G21" s="22"/>
      <c r="H21" s="22"/>
      <c r="I21" s="22"/>
      <c r="J21" s="22"/>
    </row>
    <row r="22" spans="2:10" ht="24" customHeight="1" x14ac:dyDescent="0.3">
      <c r="B22" s="17"/>
      <c r="C22" s="17"/>
      <c r="D22" s="17"/>
      <c r="E22" s="17"/>
      <c r="F22" s="17"/>
      <c r="G22" s="17"/>
      <c r="H22" s="17"/>
      <c r="I22" s="17"/>
      <c r="J22" s="17"/>
    </row>
    <row r="23" spans="2:10" ht="24" customHeight="1" x14ac:dyDescent="0.3">
      <c r="B23" s="25" t="s">
        <v>6</v>
      </c>
      <c r="C23" s="22"/>
      <c r="D23" s="22"/>
      <c r="E23" s="22"/>
      <c r="F23" s="22"/>
      <c r="G23" s="22"/>
      <c r="H23" s="22"/>
      <c r="I23" s="22"/>
      <c r="J23" s="22"/>
    </row>
    <row r="24" spans="2:10" ht="24" customHeight="1" x14ac:dyDescent="0.3">
      <c r="B24" s="22"/>
      <c r="C24" s="22"/>
      <c r="D24" s="22"/>
      <c r="E24" s="22"/>
      <c r="F24" s="22"/>
      <c r="G24" s="22"/>
      <c r="H24" s="22"/>
      <c r="I24" s="22"/>
      <c r="J24" s="22"/>
    </row>
    <row r="25" spans="2:10" ht="24" customHeight="1" x14ac:dyDescent="0.3">
      <c r="B25" s="22"/>
      <c r="C25" s="22"/>
      <c r="D25" s="22"/>
      <c r="E25" s="22"/>
      <c r="F25" s="22"/>
      <c r="G25" s="22"/>
      <c r="H25" s="22"/>
      <c r="I25" s="22"/>
      <c r="J25" s="22"/>
    </row>
    <row r="26" spans="2:10" ht="24" customHeight="1" x14ac:dyDescent="0.3">
      <c r="B26" s="17"/>
      <c r="C26" s="17"/>
      <c r="D26" s="17"/>
      <c r="E26" s="17"/>
      <c r="F26" s="17"/>
      <c r="G26" s="17"/>
      <c r="H26" s="17"/>
      <c r="I26" s="17"/>
      <c r="J26" s="17"/>
    </row>
    <row r="27" spans="2:10" ht="24" customHeight="1" x14ac:dyDescent="0.3">
      <c r="B27" s="26" t="s">
        <v>7</v>
      </c>
      <c r="C27" s="22"/>
      <c r="D27" s="22"/>
      <c r="E27" s="22"/>
      <c r="F27" s="22"/>
      <c r="G27" s="22"/>
      <c r="H27" s="22"/>
      <c r="I27" s="22"/>
      <c r="J27" s="22"/>
    </row>
    <row r="28" spans="2:10" ht="24" customHeight="1" x14ac:dyDescent="0.3">
      <c r="B28" s="19"/>
      <c r="C28" s="17"/>
      <c r="D28" s="17"/>
      <c r="E28" s="17"/>
      <c r="F28" s="17"/>
      <c r="G28" s="17"/>
      <c r="H28" s="17"/>
      <c r="I28" s="17"/>
      <c r="J28" s="17"/>
    </row>
    <row r="29" spans="2:10" ht="24" customHeight="1" x14ac:dyDescent="0.3"/>
    <row r="30" spans="2:10" ht="24" customHeight="1" x14ac:dyDescent="0.3"/>
  </sheetData>
  <mergeCells count="8">
    <mergeCell ref="B27:J27"/>
    <mergeCell ref="B12:J12"/>
    <mergeCell ref="B13:J13"/>
    <mergeCell ref="B2:J3"/>
    <mergeCell ref="F16:J21"/>
    <mergeCell ref="B14:J14"/>
    <mergeCell ref="B16:E21"/>
    <mergeCell ref="B23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showGridLines="0" topLeftCell="A17" workbookViewId="0">
      <selection sqref="A1:M1"/>
    </sheetView>
  </sheetViews>
  <sheetFormatPr defaultRowHeight="14.4" x14ac:dyDescent="0.3"/>
  <cols>
    <col min="1" max="1" width="14" customWidth="1"/>
    <col min="2" max="2" width="20" customWidth="1"/>
    <col min="3" max="3" width="12" customWidth="1"/>
    <col min="4" max="4" width="10" customWidth="1"/>
    <col min="5" max="5" width="16" customWidth="1"/>
    <col min="6" max="8" width="12" customWidth="1"/>
    <col min="9" max="9" width="8" customWidth="1"/>
    <col min="10" max="10" width="24" customWidth="1"/>
    <col min="11" max="11" width="14" customWidth="1"/>
    <col min="12" max="12" width="18" customWidth="1"/>
    <col min="13" max="13" width="12" customWidth="1"/>
  </cols>
  <sheetData>
    <row r="1" spans="1:13" ht="21" x14ac:dyDescent="0.4">
      <c r="A1" s="30" t="s">
        <v>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.6" x14ac:dyDescent="0.3">
      <c r="A2" s="1" t="s">
        <v>9</v>
      </c>
      <c r="B2" s="29" t="s">
        <v>10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28.8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 ht="22.05" customHeight="1" x14ac:dyDescent="0.3">
      <c r="A5" s="3" t="s">
        <v>24</v>
      </c>
      <c r="B5" s="3" t="s">
        <v>25</v>
      </c>
      <c r="C5" s="3" t="s">
        <v>26</v>
      </c>
      <c r="D5" s="4">
        <v>21</v>
      </c>
      <c r="E5" s="3" t="s">
        <v>27</v>
      </c>
      <c r="F5" s="5">
        <v>7.5</v>
      </c>
      <c r="G5" s="6">
        <v>6</v>
      </c>
      <c r="H5" s="6">
        <v>91</v>
      </c>
      <c r="I5" s="5">
        <v>3.4</v>
      </c>
      <c r="J5" s="3" t="s">
        <v>28</v>
      </c>
      <c r="K5" s="4">
        <f t="shared" ref="K5:K29" si="0">IF(COUNTIF($A$5:$A$29,A5)&gt;1,1,0)</f>
        <v>0</v>
      </c>
      <c r="L5" s="4">
        <f t="shared" ref="L5:L29" si="1">COUNTBLANK(B5:J5)</f>
        <v>0</v>
      </c>
      <c r="M5" s="4">
        <f t="shared" ref="M5:M29" si="2">IF(OR(AND(ISNUMBER(D5),OR(D5&lt;18,D5&gt;60)),AND(ISNUMBER(F5),OR(F5&lt;3,F5&gt;12)),AND(ISNUMBER(G5),OR(G5&lt;1,G5&gt;10)),AND(ISNUMBER(H5),OR(H5&lt;0,H5&gt;100)),AND(ISNUMBER(I5),OR(I5&lt;0,I5&gt;4))),1,0)</f>
        <v>0</v>
      </c>
    </row>
    <row r="6" spans="1:13" ht="22.05" customHeight="1" x14ac:dyDescent="0.3">
      <c r="A6" s="3" t="s">
        <v>29</v>
      </c>
      <c r="B6" s="3" t="s">
        <v>30</v>
      </c>
      <c r="C6" s="3" t="s">
        <v>31</v>
      </c>
      <c r="D6" s="4">
        <v>20</v>
      </c>
      <c r="E6" s="3" t="s">
        <v>32</v>
      </c>
      <c r="F6" s="5">
        <v>6</v>
      </c>
      <c r="G6" s="6">
        <v>8</v>
      </c>
      <c r="H6" s="6">
        <v>88</v>
      </c>
      <c r="I6" s="5">
        <v>3.2</v>
      </c>
      <c r="J6" s="3" t="s">
        <v>33</v>
      </c>
      <c r="K6" s="4">
        <f t="shared" si="0"/>
        <v>0</v>
      </c>
      <c r="L6" s="4">
        <f t="shared" si="1"/>
        <v>0</v>
      </c>
      <c r="M6" s="4">
        <f t="shared" si="2"/>
        <v>0</v>
      </c>
    </row>
    <row r="7" spans="1:13" ht="22.05" customHeight="1" x14ac:dyDescent="0.3">
      <c r="A7" s="3" t="s">
        <v>34</v>
      </c>
      <c r="B7" s="3" t="s">
        <v>35</v>
      </c>
      <c r="C7" s="3" t="s">
        <v>36</v>
      </c>
      <c r="D7" s="4">
        <v>22</v>
      </c>
      <c r="E7" s="3" t="s">
        <v>37</v>
      </c>
      <c r="F7" s="5">
        <v>5.5</v>
      </c>
      <c r="G7" s="6">
        <v>9</v>
      </c>
      <c r="H7" s="6">
        <v>95</v>
      </c>
      <c r="I7" s="5">
        <v>3.8</v>
      </c>
      <c r="J7" s="3" t="s">
        <v>38</v>
      </c>
      <c r="K7" s="4">
        <f t="shared" si="0"/>
        <v>0</v>
      </c>
      <c r="L7" s="4">
        <f t="shared" si="1"/>
        <v>0</v>
      </c>
      <c r="M7" s="4">
        <f t="shared" si="2"/>
        <v>0</v>
      </c>
    </row>
    <row r="8" spans="1:13" ht="22.05" customHeight="1" x14ac:dyDescent="0.3">
      <c r="A8" s="3" t="s">
        <v>39</v>
      </c>
      <c r="B8" s="3" t="s">
        <v>40</v>
      </c>
      <c r="C8" s="3" t="s">
        <v>41</v>
      </c>
      <c r="D8" s="4">
        <v>19</v>
      </c>
      <c r="E8" s="3" t="s">
        <v>42</v>
      </c>
      <c r="F8" s="5">
        <v>8</v>
      </c>
      <c r="G8" s="6">
        <v>4</v>
      </c>
      <c r="H8" s="6">
        <v>84</v>
      </c>
      <c r="I8" s="5">
        <v>3.6</v>
      </c>
      <c r="J8" s="3" t="s">
        <v>43</v>
      </c>
      <c r="K8" s="4">
        <f t="shared" si="0"/>
        <v>0</v>
      </c>
      <c r="L8" s="4">
        <f t="shared" si="1"/>
        <v>0</v>
      </c>
      <c r="M8" s="4">
        <f t="shared" si="2"/>
        <v>0</v>
      </c>
    </row>
    <row r="9" spans="1:13" ht="22.05" customHeight="1" x14ac:dyDescent="0.3">
      <c r="A9" s="3" t="s">
        <v>44</v>
      </c>
      <c r="B9" s="3" t="s">
        <v>45</v>
      </c>
      <c r="C9" s="3" t="s">
        <v>46</v>
      </c>
      <c r="D9" s="4">
        <v>210</v>
      </c>
      <c r="E9" s="3" t="s">
        <v>47</v>
      </c>
      <c r="F9" s="5">
        <v>7</v>
      </c>
      <c r="G9" s="6">
        <v>5</v>
      </c>
      <c r="H9" s="6">
        <v>90</v>
      </c>
      <c r="I9" s="5">
        <v>3.1</v>
      </c>
      <c r="J9" s="3" t="s">
        <v>48</v>
      </c>
      <c r="K9" s="4">
        <f t="shared" si="0"/>
        <v>0</v>
      </c>
      <c r="L9" s="4">
        <f t="shared" si="1"/>
        <v>0</v>
      </c>
      <c r="M9" s="4">
        <f t="shared" si="2"/>
        <v>1</v>
      </c>
    </row>
    <row r="10" spans="1:13" ht="22.05" customHeight="1" x14ac:dyDescent="0.3">
      <c r="A10" s="3" t="s">
        <v>49</v>
      </c>
      <c r="B10" s="3" t="s">
        <v>50</v>
      </c>
      <c r="C10" s="3" t="s">
        <v>51</v>
      </c>
      <c r="D10" s="4">
        <v>20</v>
      </c>
      <c r="E10" s="3" t="s">
        <v>52</v>
      </c>
      <c r="F10" s="5" t="s">
        <v>53</v>
      </c>
      <c r="G10" s="6">
        <v>7</v>
      </c>
      <c r="H10" s="6">
        <v>86</v>
      </c>
      <c r="I10" s="5">
        <v>3.3</v>
      </c>
      <c r="J10" s="3" t="s">
        <v>54</v>
      </c>
      <c r="K10" s="4">
        <f t="shared" si="0"/>
        <v>0</v>
      </c>
      <c r="L10" s="4">
        <f t="shared" si="1"/>
        <v>1</v>
      </c>
      <c r="M10" s="4">
        <f t="shared" si="2"/>
        <v>0</v>
      </c>
    </row>
    <row r="11" spans="1:13" ht="22.05" customHeight="1" x14ac:dyDescent="0.3">
      <c r="A11" s="3" t="s">
        <v>55</v>
      </c>
      <c r="B11" s="3" t="s">
        <v>56</v>
      </c>
      <c r="C11" s="3" t="s">
        <v>57</v>
      </c>
      <c r="D11" s="4">
        <v>23</v>
      </c>
      <c r="E11" s="3" t="s">
        <v>58</v>
      </c>
      <c r="F11" s="5">
        <v>25</v>
      </c>
      <c r="G11" s="6">
        <v>6</v>
      </c>
      <c r="H11" s="6">
        <v>89</v>
      </c>
      <c r="I11" s="5">
        <v>3.5</v>
      </c>
      <c r="J11" s="3" t="s">
        <v>59</v>
      </c>
      <c r="K11" s="4">
        <f t="shared" si="0"/>
        <v>0</v>
      </c>
      <c r="L11" s="4">
        <f t="shared" si="1"/>
        <v>0</v>
      </c>
      <c r="M11" s="4">
        <f t="shared" si="2"/>
        <v>1</v>
      </c>
    </row>
    <row r="12" spans="1:13" ht="22.05" customHeight="1" x14ac:dyDescent="0.3">
      <c r="A12" s="3" t="s">
        <v>60</v>
      </c>
      <c r="B12" s="3" t="s">
        <v>61</v>
      </c>
      <c r="C12" s="3" t="s">
        <v>31</v>
      </c>
      <c r="D12" s="4">
        <v>18</v>
      </c>
      <c r="E12" s="3" t="s">
        <v>62</v>
      </c>
      <c r="F12" s="5">
        <v>4</v>
      </c>
      <c r="G12" s="6">
        <v>15</v>
      </c>
      <c r="H12" s="6">
        <v>92</v>
      </c>
      <c r="I12" s="5">
        <v>3</v>
      </c>
      <c r="J12" s="3" t="s">
        <v>63</v>
      </c>
      <c r="K12" s="4">
        <f t="shared" si="0"/>
        <v>0</v>
      </c>
      <c r="L12" s="4">
        <f t="shared" si="1"/>
        <v>0</v>
      </c>
      <c r="M12" s="4">
        <f t="shared" si="2"/>
        <v>1</v>
      </c>
    </row>
    <row r="13" spans="1:13" ht="22.05" customHeight="1" x14ac:dyDescent="0.3">
      <c r="A13" s="3" t="s">
        <v>64</v>
      </c>
      <c r="B13" s="3" t="s">
        <v>65</v>
      </c>
      <c r="C13" s="3" t="s">
        <v>36</v>
      </c>
      <c r="D13" s="4">
        <v>21</v>
      </c>
      <c r="E13" s="3" t="s">
        <v>66</v>
      </c>
      <c r="F13" s="5">
        <v>0</v>
      </c>
      <c r="G13" s="6">
        <v>8</v>
      </c>
      <c r="H13" s="6">
        <v>108</v>
      </c>
      <c r="I13" s="5">
        <v>2.9</v>
      </c>
      <c r="J13" s="3" t="s">
        <v>67</v>
      </c>
      <c r="K13" s="4">
        <f t="shared" si="0"/>
        <v>0</v>
      </c>
      <c r="L13" s="4">
        <f t="shared" si="1"/>
        <v>0</v>
      </c>
      <c r="M13" s="4">
        <f t="shared" si="2"/>
        <v>1</v>
      </c>
    </row>
    <row r="14" spans="1:13" ht="22.05" customHeight="1" x14ac:dyDescent="0.3">
      <c r="A14" s="3" t="s">
        <v>68</v>
      </c>
      <c r="B14" s="3" t="s">
        <v>69</v>
      </c>
      <c r="C14" s="3" t="s">
        <v>51</v>
      </c>
      <c r="D14" s="4">
        <v>20</v>
      </c>
      <c r="E14" s="3" t="s">
        <v>70</v>
      </c>
      <c r="F14" s="5">
        <v>6.5</v>
      </c>
      <c r="G14" s="6">
        <v>7</v>
      </c>
      <c r="H14" s="6">
        <v>-5</v>
      </c>
      <c r="I14" s="5">
        <v>3.7</v>
      </c>
      <c r="J14" s="3" t="s">
        <v>71</v>
      </c>
      <c r="K14" s="4">
        <f t="shared" si="0"/>
        <v>0</v>
      </c>
      <c r="L14" s="4">
        <f t="shared" si="1"/>
        <v>0</v>
      </c>
      <c r="M14" s="4">
        <f t="shared" si="2"/>
        <v>1</v>
      </c>
    </row>
    <row r="15" spans="1:13" ht="22.05" customHeight="1" x14ac:dyDescent="0.3">
      <c r="A15" s="3" t="s">
        <v>72</v>
      </c>
      <c r="B15" s="3" t="s">
        <v>73</v>
      </c>
      <c r="C15" s="3" t="s">
        <v>46</v>
      </c>
      <c r="D15" s="4" t="s">
        <v>53</v>
      </c>
      <c r="E15" s="3" t="s">
        <v>74</v>
      </c>
      <c r="F15" s="5">
        <v>7</v>
      </c>
      <c r="G15" s="6">
        <v>3</v>
      </c>
      <c r="H15" s="6">
        <v>93</v>
      </c>
      <c r="I15" s="5">
        <v>3.9</v>
      </c>
      <c r="J15" s="3" t="s">
        <v>75</v>
      </c>
      <c r="K15" s="4">
        <f t="shared" si="0"/>
        <v>1</v>
      </c>
      <c r="L15" s="4">
        <f t="shared" si="1"/>
        <v>1</v>
      </c>
      <c r="M15" s="4">
        <f t="shared" si="2"/>
        <v>0</v>
      </c>
    </row>
    <row r="16" spans="1:13" ht="22.05" customHeight="1" x14ac:dyDescent="0.3">
      <c r="A16" s="3" t="s">
        <v>72</v>
      </c>
      <c r="B16" s="3" t="s">
        <v>73</v>
      </c>
      <c r="C16" s="3" t="s">
        <v>46</v>
      </c>
      <c r="D16" s="4" t="s">
        <v>53</v>
      </c>
      <c r="E16" s="3" t="s">
        <v>74</v>
      </c>
      <c r="F16" s="5">
        <v>7</v>
      </c>
      <c r="G16" s="6">
        <v>3</v>
      </c>
      <c r="H16" s="6">
        <v>93</v>
      </c>
      <c r="I16" s="5">
        <v>3.9</v>
      </c>
      <c r="J16" s="3" t="s">
        <v>75</v>
      </c>
      <c r="K16" s="4">
        <f t="shared" si="0"/>
        <v>1</v>
      </c>
      <c r="L16" s="4">
        <f t="shared" si="1"/>
        <v>1</v>
      </c>
      <c r="M16" s="4">
        <f t="shared" si="2"/>
        <v>0</v>
      </c>
    </row>
    <row r="17" spans="1:13" ht="22.05" customHeight="1" x14ac:dyDescent="0.3">
      <c r="A17" s="3" t="s">
        <v>76</v>
      </c>
      <c r="B17" s="3" t="s">
        <v>77</v>
      </c>
      <c r="C17" s="3" t="s">
        <v>41</v>
      </c>
      <c r="D17" s="4">
        <v>19</v>
      </c>
      <c r="E17" s="3" t="s">
        <v>78</v>
      </c>
      <c r="F17" s="5">
        <v>8.5</v>
      </c>
      <c r="G17" s="6">
        <v>-1</v>
      </c>
      <c r="H17" s="6">
        <v>87</v>
      </c>
      <c r="I17" s="5">
        <v>3.4</v>
      </c>
      <c r="J17" s="3" t="s">
        <v>79</v>
      </c>
      <c r="K17" s="4">
        <f t="shared" si="0"/>
        <v>0</v>
      </c>
      <c r="L17" s="4">
        <f t="shared" si="1"/>
        <v>0</v>
      </c>
      <c r="M17" s="4">
        <f t="shared" si="2"/>
        <v>1</v>
      </c>
    </row>
    <row r="18" spans="1:13" ht="22.05" customHeight="1" x14ac:dyDescent="0.3">
      <c r="A18" s="3" t="s">
        <v>80</v>
      </c>
      <c r="B18" s="3" t="s">
        <v>81</v>
      </c>
      <c r="C18" s="3" t="s">
        <v>26</v>
      </c>
      <c r="D18" s="4">
        <v>22</v>
      </c>
      <c r="E18" s="3" t="s">
        <v>82</v>
      </c>
      <c r="F18" s="5">
        <v>7</v>
      </c>
      <c r="G18" s="6">
        <v>5</v>
      </c>
      <c r="H18" s="6">
        <v>90</v>
      </c>
      <c r="I18" s="5">
        <v>4.8</v>
      </c>
      <c r="J18" s="3" t="s">
        <v>83</v>
      </c>
      <c r="K18" s="4">
        <f t="shared" si="0"/>
        <v>0</v>
      </c>
      <c r="L18" s="4">
        <f t="shared" si="1"/>
        <v>0</v>
      </c>
      <c r="M18" s="4">
        <f t="shared" si="2"/>
        <v>1</v>
      </c>
    </row>
    <row r="19" spans="1:13" ht="22.05" customHeight="1" x14ac:dyDescent="0.3">
      <c r="A19" s="3" t="s">
        <v>84</v>
      </c>
      <c r="B19" s="3" t="s">
        <v>85</v>
      </c>
      <c r="C19" s="3" t="s">
        <v>31</v>
      </c>
      <c r="D19" s="4">
        <v>21</v>
      </c>
      <c r="E19" s="3" t="s">
        <v>86</v>
      </c>
      <c r="F19" s="5">
        <v>5</v>
      </c>
      <c r="G19" s="6">
        <v>9</v>
      </c>
      <c r="H19" s="6">
        <v>82</v>
      </c>
      <c r="I19" s="5">
        <v>2.8</v>
      </c>
      <c r="J19" s="3" t="s">
        <v>87</v>
      </c>
      <c r="K19" s="4">
        <f t="shared" si="0"/>
        <v>0</v>
      </c>
      <c r="L19" s="4">
        <f t="shared" si="1"/>
        <v>0</v>
      </c>
      <c r="M19" s="4">
        <f t="shared" si="2"/>
        <v>0</v>
      </c>
    </row>
    <row r="20" spans="1:13" ht="22.05" customHeight="1" x14ac:dyDescent="0.3">
      <c r="A20" s="3" t="s">
        <v>88</v>
      </c>
      <c r="B20" s="3" t="s">
        <v>89</v>
      </c>
      <c r="C20" s="3" t="s">
        <v>36</v>
      </c>
      <c r="D20" s="4">
        <v>17</v>
      </c>
      <c r="E20" s="3" t="s">
        <v>90</v>
      </c>
      <c r="F20" s="5">
        <v>6</v>
      </c>
      <c r="G20" s="6">
        <v>6</v>
      </c>
      <c r="H20" s="6">
        <v>79</v>
      </c>
      <c r="I20" s="5">
        <v>3.1</v>
      </c>
      <c r="J20" s="3" t="s">
        <v>91</v>
      </c>
      <c r="K20" s="4">
        <f t="shared" si="0"/>
        <v>0</v>
      </c>
      <c r="L20" s="4">
        <f t="shared" si="1"/>
        <v>0</v>
      </c>
      <c r="M20" s="4">
        <f t="shared" si="2"/>
        <v>1</v>
      </c>
    </row>
    <row r="21" spans="1:13" ht="22.05" customHeight="1" x14ac:dyDescent="0.3">
      <c r="A21" s="3" t="s">
        <v>92</v>
      </c>
      <c r="B21" s="3" t="s">
        <v>93</v>
      </c>
      <c r="C21" s="3" t="s">
        <v>51</v>
      </c>
      <c r="D21" s="4">
        <v>20</v>
      </c>
      <c r="E21" s="3" t="s">
        <v>94</v>
      </c>
      <c r="F21" s="5">
        <v>7.5</v>
      </c>
      <c r="G21" s="6">
        <v>4</v>
      </c>
      <c r="H21" s="6">
        <v>85</v>
      </c>
      <c r="I21" s="5">
        <v>3.5</v>
      </c>
      <c r="J21" s="3" t="s">
        <v>53</v>
      </c>
      <c r="K21" s="4">
        <f t="shared" si="0"/>
        <v>0</v>
      </c>
      <c r="L21" s="4">
        <f t="shared" si="1"/>
        <v>1</v>
      </c>
      <c r="M21" s="4">
        <f t="shared" si="2"/>
        <v>0</v>
      </c>
    </row>
    <row r="22" spans="1:13" ht="22.05" customHeight="1" x14ac:dyDescent="0.3">
      <c r="A22" s="3" t="s">
        <v>95</v>
      </c>
      <c r="B22" s="3" t="s">
        <v>96</v>
      </c>
      <c r="C22" s="3" t="s">
        <v>46</v>
      </c>
      <c r="D22" s="4">
        <v>23</v>
      </c>
      <c r="E22" s="3" t="s">
        <v>97</v>
      </c>
      <c r="F22" s="5">
        <v>3</v>
      </c>
      <c r="G22" s="6">
        <v>10</v>
      </c>
      <c r="H22" s="6">
        <v>97</v>
      </c>
      <c r="I22" s="5">
        <v>3</v>
      </c>
      <c r="J22" s="3" t="s">
        <v>98</v>
      </c>
      <c r="K22" s="4">
        <f t="shared" si="0"/>
        <v>0</v>
      </c>
      <c r="L22" s="4">
        <f t="shared" si="1"/>
        <v>0</v>
      </c>
      <c r="M22" s="4">
        <f t="shared" si="2"/>
        <v>0</v>
      </c>
    </row>
    <row r="23" spans="1:13" ht="22.05" customHeight="1" x14ac:dyDescent="0.3">
      <c r="A23" s="3" t="s">
        <v>99</v>
      </c>
      <c r="B23" s="3" t="s">
        <v>100</v>
      </c>
      <c r="C23" s="3" t="s">
        <v>41</v>
      </c>
      <c r="D23" s="4">
        <v>21</v>
      </c>
      <c r="E23" s="3" t="s">
        <v>101</v>
      </c>
      <c r="F23" s="5">
        <v>11</v>
      </c>
      <c r="G23" s="6">
        <v>2</v>
      </c>
      <c r="H23" s="6">
        <v>90</v>
      </c>
      <c r="I23" s="5">
        <v>-0.5</v>
      </c>
      <c r="J23" s="3" t="s">
        <v>102</v>
      </c>
      <c r="K23" s="4">
        <f t="shared" si="0"/>
        <v>0</v>
      </c>
      <c r="L23" s="4">
        <f t="shared" si="1"/>
        <v>0</v>
      </c>
      <c r="M23" s="4">
        <f t="shared" si="2"/>
        <v>1</v>
      </c>
    </row>
    <row r="24" spans="1:13" ht="22.05" customHeight="1" x14ac:dyDescent="0.3">
      <c r="A24" s="3" t="s">
        <v>103</v>
      </c>
      <c r="B24" s="3" t="s">
        <v>104</v>
      </c>
      <c r="C24" s="3" t="s">
        <v>105</v>
      </c>
      <c r="D24" s="4">
        <v>22</v>
      </c>
      <c r="E24" s="3" t="s">
        <v>106</v>
      </c>
      <c r="F24" s="5">
        <v>6</v>
      </c>
      <c r="G24" s="6">
        <v>7</v>
      </c>
      <c r="H24" s="6">
        <v>88</v>
      </c>
      <c r="I24" s="5">
        <v>3.4</v>
      </c>
      <c r="J24" s="3" t="s">
        <v>107</v>
      </c>
      <c r="K24" s="4">
        <f t="shared" si="0"/>
        <v>0</v>
      </c>
      <c r="L24" s="4">
        <f t="shared" si="1"/>
        <v>0</v>
      </c>
      <c r="M24" s="4">
        <f t="shared" si="2"/>
        <v>0</v>
      </c>
    </row>
    <row r="25" spans="1:13" ht="22.05" customHeight="1" x14ac:dyDescent="0.3">
      <c r="A25" s="3" t="s">
        <v>108</v>
      </c>
      <c r="B25" s="3" t="s">
        <v>109</v>
      </c>
      <c r="C25" s="3" t="s">
        <v>31</v>
      </c>
      <c r="D25" s="4">
        <v>20</v>
      </c>
      <c r="E25" s="3" t="s">
        <v>110</v>
      </c>
      <c r="F25" s="5">
        <v>7</v>
      </c>
      <c r="G25" s="6">
        <v>6</v>
      </c>
      <c r="H25" s="6">
        <v>91</v>
      </c>
      <c r="I25" s="5">
        <v>3.6</v>
      </c>
      <c r="J25" s="3" t="s">
        <v>111</v>
      </c>
      <c r="K25" s="4">
        <f t="shared" si="0"/>
        <v>0</v>
      </c>
      <c r="L25" s="4">
        <f t="shared" si="1"/>
        <v>0</v>
      </c>
      <c r="M25" s="4">
        <f t="shared" si="2"/>
        <v>0</v>
      </c>
    </row>
    <row r="26" spans="1:13" ht="22.05" customHeight="1" x14ac:dyDescent="0.3">
      <c r="A26" s="3" t="s">
        <v>112</v>
      </c>
      <c r="B26" s="3" t="s">
        <v>113</v>
      </c>
      <c r="C26" s="3" t="s">
        <v>36</v>
      </c>
      <c r="D26" s="4">
        <v>21</v>
      </c>
      <c r="E26" s="3" t="s">
        <v>114</v>
      </c>
      <c r="F26" s="5">
        <v>5</v>
      </c>
      <c r="G26" s="6">
        <v>8</v>
      </c>
      <c r="H26" s="6">
        <v>83</v>
      </c>
      <c r="I26" s="5">
        <v>3.2</v>
      </c>
      <c r="J26" s="3" t="s">
        <v>115</v>
      </c>
      <c r="K26" s="4">
        <f t="shared" si="0"/>
        <v>0</v>
      </c>
      <c r="L26" s="4">
        <f t="shared" si="1"/>
        <v>0</v>
      </c>
      <c r="M26" s="4">
        <f t="shared" si="2"/>
        <v>0</v>
      </c>
    </row>
    <row r="27" spans="1:13" ht="22.05" customHeight="1" x14ac:dyDescent="0.3">
      <c r="A27" s="3" t="s">
        <v>116</v>
      </c>
      <c r="B27" s="3" t="s">
        <v>117</v>
      </c>
      <c r="C27" s="3" t="s">
        <v>51</v>
      </c>
      <c r="D27" s="4">
        <v>19</v>
      </c>
      <c r="E27" s="3" t="s">
        <v>118</v>
      </c>
      <c r="F27" s="5">
        <v>8</v>
      </c>
      <c r="G27" s="6">
        <v>5</v>
      </c>
      <c r="H27" s="6">
        <v>86</v>
      </c>
      <c r="I27" s="5" t="s">
        <v>53</v>
      </c>
      <c r="J27" s="3" t="s">
        <v>119</v>
      </c>
      <c r="K27" s="4">
        <f t="shared" si="0"/>
        <v>0</v>
      </c>
      <c r="L27" s="4">
        <f t="shared" si="1"/>
        <v>1</v>
      </c>
      <c r="M27" s="4">
        <f t="shared" si="2"/>
        <v>0</v>
      </c>
    </row>
    <row r="28" spans="1:13" ht="22.05" customHeight="1" x14ac:dyDescent="0.3">
      <c r="A28" s="3" t="s">
        <v>120</v>
      </c>
      <c r="B28" s="3" t="s">
        <v>121</v>
      </c>
      <c r="C28" s="3" t="s">
        <v>46</v>
      </c>
      <c r="D28" s="4">
        <v>22</v>
      </c>
      <c r="E28" s="3" t="s">
        <v>122</v>
      </c>
      <c r="F28" s="5">
        <v>4.5</v>
      </c>
      <c r="G28" s="6">
        <v>9</v>
      </c>
      <c r="H28" s="6">
        <v>80</v>
      </c>
      <c r="I28" s="5">
        <v>3</v>
      </c>
      <c r="J28" s="3" t="s">
        <v>123</v>
      </c>
      <c r="K28" s="4">
        <f t="shared" si="0"/>
        <v>0</v>
      </c>
      <c r="L28" s="4">
        <f t="shared" si="1"/>
        <v>0</v>
      </c>
      <c r="M28" s="4">
        <f t="shared" si="2"/>
        <v>0</v>
      </c>
    </row>
    <row r="29" spans="1:13" ht="22.05" customHeight="1" x14ac:dyDescent="0.3">
      <c r="A29" s="3" t="s">
        <v>124</v>
      </c>
      <c r="B29" s="3" t="s">
        <v>125</v>
      </c>
      <c r="C29" s="3" t="s">
        <v>41</v>
      </c>
      <c r="D29" s="4">
        <v>20</v>
      </c>
      <c r="E29" s="3" t="s">
        <v>126</v>
      </c>
      <c r="F29" s="5" t="s">
        <v>53</v>
      </c>
      <c r="G29" s="6">
        <v>4</v>
      </c>
      <c r="H29" s="6">
        <v>89</v>
      </c>
      <c r="I29" s="5">
        <v>3.8</v>
      </c>
      <c r="J29" s="3" t="s">
        <v>127</v>
      </c>
      <c r="K29" s="4">
        <f t="shared" si="0"/>
        <v>0</v>
      </c>
      <c r="L29" s="4">
        <f t="shared" si="1"/>
        <v>1</v>
      </c>
      <c r="M29" s="4">
        <f t="shared" si="2"/>
        <v>0</v>
      </c>
    </row>
  </sheetData>
  <mergeCells count="2">
    <mergeCell ref="B2:M2"/>
    <mergeCell ref="A1:M1"/>
  </mergeCells>
  <conditionalFormatting sqref="K5:K29">
    <cfRule type="expression" dxfId="1" priority="1">
      <formula>K5=1</formula>
    </cfRule>
  </conditionalFormatting>
  <conditionalFormatting sqref="M5:M29">
    <cfRule type="expression" dxfId="0" priority="2">
      <formula>M5=1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workbookViewId="0">
      <selection sqref="A1:G1"/>
    </sheetView>
  </sheetViews>
  <sheetFormatPr defaultRowHeight="14.4" x14ac:dyDescent="0.3"/>
  <cols>
    <col min="1" max="1" width="18" customWidth="1"/>
    <col min="2" max="2" width="20" customWidth="1"/>
    <col min="3" max="3" width="18" customWidth="1"/>
    <col min="4" max="4" width="20" customWidth="1"/>
    <col min="5" max="5" width="22" customWidth="1"/>
    <col min="6" max="6" width="28" customWidth="1"/>
    <col min="7" max="7" width="18" customWidth="1"/>
  </cols>
  <sheetData>
    <row r="1" spans="1:7" ht="21" x14ac:dyDescent="0.4">
      <c r="A1" s="30" t="s">
        <v>128</v>
      </c>
      <c r="B1" s="22"/>
      <c r="C1" s="22"/>
      <c r="D1" s="22"/>
      <c r="E1" s="22"/>
      <c r="F1" s="22"/>
      <c r="G1" s="22"/>
    </row>
    <row r="3" spans="1:7" ht="28.8" x14ac:dyDescent="0.3">
      <c r="A3" s="2" t="s">
        <v>129</v>
      </c>
      <c r="B3" s="2" t="s">
        <v>130</v>
      </c>
      <c r="C3" s="2" t="s">
        <v>131</v>
      </c>
      <c r="D3" s="2" t="s">
        <v>132</v>
      </c>
      <c r="E3" s="2" t="s">
        <v>133</v>
      </c>
      <c r="F3" s="2" t="s">
        <v>134</v>
      </c>
      <c r="G3" s="2" t="s">
        <v>135</v>
      </c>
    </row>
    <row r="4" spans="1:7" ht="28.8" x14ac:dyDescent="0.3">
      <c r="A4" s="7" t="s">
        <v>11</v>
      </c>
      <c r="B4" s="7" t="s">
        <v>136</v>
      </c>
      <c r="C4" s="7" t="s">
        <v>137</v>
      </c>
      <c r="D4" s="7" t="s">
        <v>138</v>
      </c>
      <c r="E4" s="7" t="s">
        <v>139</v>
      </c>
      <c r="F4" s="7" t="s">
        <v>140</v>
      </c>
      <c r="G4" s="8" t="s">
        <v>141</v>
      </c>
    </row>
    <row r="5" spans="1:7" ht="22.05" customHeight="1" x14ac:dyDescent="0.3">
      <c r="A5" s="7" t="s">
        <v>13</v>
      </c>
      <c r="B5" s="7" t="s">
        <v>142</v>
      </c>
      <c r="C5" s="7" t="s">
        <v>143</v>
      </c>
      <c r="D5" s="7" t="s">
        <v>144</v>
      </c>
      <c r="E5" s="7" t="s">
        <v>145</v>
      </c>
      <c r="F5" s="7" t="s">
        <v>146</v>
      </c>
      <c r="G5" s="8" t="s">
        <v>141</v>
      </c>
    </row>
    <row r="6" spans="1:7" ht="22.05" customHeight="1" x14ac:dyDescent="0.3">
      <c r="A6" s="7" t="s">
        <v>14</v>
      </c>
      <c r="B6" s="7" t="s">
        <v>147</v>
      </c>
      <c r="C6" s="7" t="s">
        <v>148</v>
      </c>
      <c r="D6" s="7" t="s">
        <v>149</v>
      </c>
      <c r="E6" s="7" t="s">
        <v>150</v>
      </c>
      <c r="F6" s="7" t="s">
        <v>151</v>
      </c>
      <c r="G6" s="8" t="s">
        <v>141</v>
      </c>
    </row>
    <row r="7" spans="1:7" ht="22.05" customHeight="1" x14ac:dyDescent="0.3">
      <c r="A7" s="7" t="s">
        <v>15</v>
      </c>
      <c r="B7" s="7" t="s">
        <v>152</v>
      </c>
      <c r="C7" s="7" t="s">
        <v>153</v>
      </c>
      <c r="D7" s="7" t="s">
        <v>154</v>
      </c>
      <c r="E7" s="7" t="s">
        <v>155</v>
      </c>
      <c r="F7" s="7" t="s">
        <v>156</v>
      </c>
      <c r="G7" s="8" t="s">
        <v>141</v>
      </c>
    </row>
    <row r="8" spans="1:7" ht="22.05" customHeight="1" x14ac:dyDescent="0.3">
      <c r="A8" s="7" t="s">
        <v>16</v>
      </c>
      <c r="B8" s="7" t="s">
        <v>157</v>
      </c>
      <c r="C8" s="7" t="s">
        <v>158</v>
      </c>
      <c r="D8" s="7" t="s">
        <v>159</v>
      </c>
      <c r="E8" s="7" t="s">
        <v>160</v>
      </c>
      <c r="F8" s="7" t="s">
        <v>161</v>
      </c>
      <c r="G8" s="8" t="s">
        <v>141</v>
      </c>
    </row>
    <row r="9" spans="1:7" ht="22.05" customHeight="1" x14ac:dyDescent="0.3">
      <c r="A9" s="7" t="s">
        <v>17</v>
      </c>
      <c r="B9" s="7" t="s">
        <v>157</v>
      </c>
      <c r="C9" s="7" t="s">
        <v>162</v>
      </c>
      <c r="D9" s="7" t="s">
        <v>163</v>
      </c>
      <c r="E9" s="7" t="s">
        <v>164</v>
      </c>
      <c r="F9" s="7" t="s">
        <v>165</v>
      </c>
      <c r="G9" s="8" t="s">
        <v>141</v>
      </c>
    </row>
    <row r="10" spans="1:7" ht="22.05" customHeight="1" x14ac:dyDescent="0.3">
      <c r="A10" s="7" t="s">
        <v>18</v>
      </c>
      <c r="B10" s="7" t="s">
        <v>157</v>
      </c>
      <c r="C10" s="7" t="s">
        <v>166</v>
      </c>
      <c r="D10" s="7" t="s">
        <v>167</v>
      </c>
      <c r="E10" s="7" t="s">
        <v>168</v>
      </c>
      <c r="F10" s="7" t="s">
        <v>169</v>
      </c>
      <c r="G10" s="8" t="s">
        <v>141</v>
      </c>
    </row>
    <row r="11" spans="1:7" ht="22.05" customHeight="1" x14ac:dyDescent="0.3">
      <c r="A11" s="7" t="s">
        <v>19</v>
      </c>
      <c r="B11" s="7" t="s">
        <v>170</v>
      </c>
      <c r="C11" s="7" t="s">
        <v>171</v>
      </c>
      <c r="D11" s="7" t="s">
        <v>172</v>
      </c>
      <c r="E11" s="7" t="s">
        <v>173</v>
      </c>
      <c r="F11" s="7" t="s">
        <v>174</v>
      </c>
      <c r="G11" s="8" t="s">
        <v>141</v>
      </c>
    </row>
    <row r="12" spans="1:7" ht="22.05" customHeight="1" x14ac:dyDescent="0.3">
      <c r="A12" s="7" t="s">
        <v>20</v>
      </c>
      <c r="B12" s="7" t="s">
        <v>175</v>
      </c>
      <c r="C12" s="7" t="s">
        <v>176</v>
      </c>
      <c r="D12" s="7" t="s">
        <v>177</v>
      </c>
      <c r="E12" s="7" t="s">
        <v>178</v>
      </c>
      <c r="F12" s="7" t="s">
        <v>179</v>
      </c>
      <c r="G12" s="8" t="s">
        <v>141</v>
      </c>
    </row>
    <row r="13" spans="1:7" ht="22.05" customHeight="1" x14ac:dyDescent="0.3">
      <c r="A13" s="7" t="s">
        <v>12</v>
      </c>
      <c r="B13" s="7" t="s">
        <v>180</v>
      </c>
      <c r="C13" s="7" t="s">
        <v>181</v>
      </c>
      <c r="D13" s="7" t="s">
        <v>182</v>
      </c>
      <c r="E13" s="7" t="s">
        <v>183</v>
      </c>
      <c r="F13" s="7" t="s">
        <v>184</v>
      </c>
      <c r="G13" s="8" t="s">
        <v>141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selection activeCell="D16" sqref="D16"/>
    </sheetView>
  </sheetViews>
  <sheetFormatPr defaultRowHeight="14.4" x14ac:dyDescent="0.3"/>
  <cols>
    <col min="1" max="1" width="10" customWidth="1"/>
    <col min="2" max="2" width="18" customWidth="1"/>
    <col min="3" max="4" width="30" customWidth="1"/>
    <col min="5" max="5" width="16" customWidth="1"/>
    <col min="6" max="6" width="20" customWidth="1"/>
  </cols>
  <sheetData>
    <row r="1" spans="1:6" ht="21" x14ac:dyDescent="0.4">
      <c r="A1" s="30" t="s">
        <v>185</v>
      </c>
      <c r="B1" s="22"/>
      <c r="C1" s="22"/>
      <c r="D1" s="22"/>
      <c r="E1" s="22"/>
      <c r="F1" s="22"/>
    </row>
    <row r="3" spans="1:6" x14ac:dyDescent="0.3">
      <c r="A3" s="2" t="s">
        <v>186</v>
      </c>
      <c r="B3" s="2" t="s">
        <v>187</v>
      </c>
      <c r="C3" s="2" t="s">
        <v>188</v>
      </c>
      <c r="D3" s="2" t="s">
        <v>189</v>
      </c>
      <c r="E3" s="2" t="s">
        <v>190</v>
      </c>
      <c r="F3" s="2" t="s">
        <v>191</v>
      </c>
    </row>
    <row r="4" spans="1:6" ht="43.2" x14ac:dyDescent="0.3">
      <c r="A4" s="7">
        <v>1</v>
      </c>
      <c r="B4" s="7" t="s">
        <v>192</v>
      </c>
      <c r="C4" s="7" t="s">
        <v>193</v>
      </c>
      <c r="D4" s="7" t="s">
        <v>194</v>
      </c>
      <c r="E4" s="8" t="s">
        <v>195</v>
      </c>
      <c r="F4" s="7" t="s">
        <v>196</v>
      </c>
    </row>
    <row r="5" spans="1:6" ht="22.05" customHeight="1" x14ac:dyDescent="0.3">
      <c r="A5" s="7">
        <v>2</v>
      </c>
      <c r="B5" s="7" t="s">
        <v>197</v>
      </c>
      <c r="C5" s="7" t="s">
        <v>198</v>
      </c>
      <c r="D5" s="7" t="s">
        <v>199</v>
      </c>
      <c r="E5" s="8" t="s">
        <v>195</v>
      </c>
      <c r="F5" s="7" t="s">
        <v>200</v>
      </c>
    </row>
    <row r="6" spans="1:6" ht="22.05" customHeight="1" x14ac:dyDescent="0.3">
      <c r="A6" s="7">
        <v>3</v>
      </c>
      <c r="B6" s="7" t="s">
        <v>201</v>
      </c>
      <c r="C6" s="7" t="s">
        <v>202</v>
      </c>
      <c r="D6" s="7" t="s">
        <v>203</v>
      </c>
      <c r="E6" s="8" t="s">
        <v>195</v>
      </c>
      <c r="F6" s="7" t="s">
        <v>204</v>
      </c>
    </row>
    <row r="7" spans="1:6" ht="22.05" customHeight="1" x14ac:dyDescent="0.3">
      <c r="A7" s="7">
        <v>4</v>
      </c>
      <c r="B7" s="7" t="s">
        <v>205</v>
      </c>
      <c r="C7" s="7" t="s">
        <v>206</v>
      </c>
      <c r="D7" s="7" t="s">
        <v>207</v>
      </c>
      <c r="E7" s="8" t="s">
        <v>195</v>
      </c>
      <c r="F7" s="7" t="s">
        <v>208</v>
      </c>
    </row>
    <row r="8" spans="1:6" ht="22.05" customHeight="1" x14ac:dyDescent="0.3">
      <c r="A8" s="7">
        <v>5</v>
      </c>
      <c r="B8" s="7" t="s">
        <v>209</v>
      </c>
      <c r="C8" s="7" t="s">
        <v>210</v>
      </c>
      <c r="D8" s="7" t="s">
        <v>211</v>
      </c>
      <c r="E8" s="8" t="s">
        <v>195</v>
      </c>
      <c r="F8" s="7" t="s">
        <v>212</v>
      </c>
    </row>
    <row r="9" spans="1:6" ht="22.05" customHeight="1" x14ac:dyDescent="0.3">
      <c r="A9" s="7">
        <v>6</v>
      </c>
      <c r="B9" s="7" t="s">
        <v>213</v>
      </c>
      <c r="C9" s="7" t="s">
        <v>214</v>
      </c>
      <c r="D9" s="7" t="s">
        <v>215</v>
      </c>
      <c r="E9" s="8" t="s">
        <v>195</v>
      </c>
      <c r="F9" s="7" t="s">
        <v>216</v>
      </c>
    </row>
    <row r="10" spans="1:6" ht="22.05" customHeight="1" x14ac:dyDescent="0.3">
      <c r="A10" s="7">
        <v>7</v>
      </c>
      <c r="B10" s="7" t="s">
        <v>217</v>
      </c>
      <c r="C10" s="7" t="s">
        <v>218</v>
      </c>
      <c r="D10" s="7" t="s">
        <v>219</v>
      </c>
      <c r="E10" s="8" t="s">
        <v>195</v>
      </c>
      <c r="F10" s="7" t="s">
        <v>220</v>
      </c>
    </row>
    <row r="11" spans="1:6" ht="22.05" customHeight="1" x14ac:dyDescent="0.3">
      <c r="A11" s="7">
        <v>8</v>
      </c>
      <c r="B11" s="7" t="s">
        <v>221</v>
      </c>
      <c r="C11" s="7" t="s">
        <v>222</v>
      </c>
      <c r="D11" s="7" t="s">
        <v>223</v>
      </c>
      <c r="E11" s="8" t="s">
        <v>195</v>
      </c>
      <c r="F11" s="7" t="s">
        <v>224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showGridLines="0" workbookViewId="0">
      <selection sqref="A1:K1"/>
    </sheetView>
  </sheetViews>
  <sheetFormatPr defaultRowHeight="14.4" x14ac:dyDescent="0.3"/>
  <cols>
    <col min="1" max="1" width="14" customWidth="1"/>
    <col min="2" max="2" width="20" customWidth="1"/>
    <col min="3" max="3" width="12" customWidth="1"/>
    <col min="4" max="4" width="10" customWidth="1"/>
    <col min="5" max="5" width="16" customWidth="1"/>
    <col min="6" max="8" width="12" customWidth="1"/>
    <col min="9" max="9" width="8" customWidth="1"/>
    <col min="10" max="10" width="24" customWidth="1"/>
    <col min="11" max="11" width="28" customWidth="1"/>
  </cols>
  <sheetData>
    <row r="1" spans="1:11" ht="21" x14ac:dyDescent="0.4">
      <c r="A1" s="30" t="s">
        <v>225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6" x14ac:dyDescent="0.3">
      <c r="A2" s="1" t="s">
        <v>226</v>
      </c>
      <c r="B2" s="29" t="s">
        <v>227</v>
      </c>
      <c r="C2" s="22"/>
      <c r="D2" s="22"/>
      <c r="E2" s="22"/>
      <c r="F2" s="22"/>
      <c r="G2" s="22"/>
      <c r="H2" s="22"/>
      <c r="I2" s="22"/>
      <c r="J2" s="22"/>
      <c r="K2" s="22"/>
    </row>
    <row r="4" spans="1:11" ht="28.8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228</v>
      </c>
    </row>
    <row r="5" spans="1:11" ht="22.05" customHeight="1" x14ac:dyDescent="0.3">
      <c r="A5" s="9" t="s">
        <v>24</v>
      </c>
      <c r="B5" s="9" t="s">
        <v>25</v>
      </c>
      <c r="C5" s="9" t="s">
        <v>26</v>
      </c>
      <c r="D5" s="10">
        <v>21</v>
      </c>
      <c r="E5" s="9" t="s">
        <v>229</v>
      </c>
      <c r="F5" s="11">
        <v>7.5</v>
      </c>
      <c r="G5" s="12">
        <v>6</v>
      </c>
      <c r="H5" s="12">
        <v>91</v>
      </c>
      <c r="I5" s="11">
        <v>3.4</v>
      </c>
      <c r="J5" s="9" t="s">
        <v>28</v>
      </c>
      <c r="K5" s="13" t="s">
        <v>230</v>
      </c>
    </row>
    <row r="6" spans="1:11" ht="22.05" customHeight="1" x14ac:dyDescent="0.3">
      <c r="A6" s="9" t="s">
        <v>29</v>
      </c>
      <c r="B6" s="9" t="s">
        <v>30</v>
      </c>
      <c r="C6" s="9" t="s">
        <v>51</v>
      </c>
      <c r="D6" s="10">
        <v>20</v>
      </c>
      <c r="E6" s="9" t="s">
        <v>231</v>
      </c>
      <c r="F6" s="11">
        <v>6</v>
      </c>
      <c r="G6" s="12">
        <v>8</v>
      </c>
      <c r="H6" s="12">
        <v>88</v>
      </c>
      <c r="I6" s="11">
        <v>3.2</v>
      </c>
      <c r="J6" s="9" t="s">
        <v>232</v>
      </c>
      <c r="K6" s="13" t="s">
        <v>233</v>
      </c>
    </row>
    <row r="7" spans="1:11" ht="22.05" customHeight="1" x14ac:dyDescent="0.3">
      <c r="A7" s="9" t="s">
        <v>34</v>
      </c>
      <c r="B7" s="9" t="s">
        <v>234</v>
      </c>
      <c r="C7" s="9" t="s">
        <v>26</v>
      </c>
      <c r="D7" s="10">
        <v>22</v>
      </c>
      <c r="E7" s="9" t="s">
        <v>235</v>
      </c>
      <c r="F7" s="11">
        <v>5.5</v>
      </c>
      <c r="G7" s="12">
        <v>9</v>
      </c>
      <c r="H7" s="12">
        <v>95</v>
      </c>
      <c r="I7" s="11">
        <v>3.8</v>
      </c>
      <c r="J7" s="9" t="s">
        <v>38</v>
      </c>
      <c r="K7" s="13" t="s">
        <v>184</v>
      </c>
    </row>
    <row r="8" spans="1:11" ht="22.05" customHeight="1" x14ac:dyDescent="0.3">
      <c r="A8" s="9" t="s">
        <v>39</v>
      </c>
      <c r="B8" s="9" t="s">
        <v>40</v>
      </c>
      <c r="C8" s="9" t="s">
        <v>51</v>
      </c>
      <c r="D8" s="10">
        <v>19</v>
      </c>
      <c r="E8" s="9" t="s">
        <v>236</v>
      </c>
      <c r="F8" s="11">
        <v>8</v>
      </c>
      <c r="G8" s="12">
        <v>4</v>
      </c>
      <c r="H8" s="12">
        <v>84</v>
      </c>
      <c r="I8" s="11">
        <v>3.6</v>
      </c>
      <c r="J8" s="9" t="s">
        <v>43</v>
      </c>
      <c r="K8" s="13" t="s">
        <v>237</v>
      </c>
    </row>
    <row r="9" spans="1:11" ht="22.05" customHeight="1" x14ac:dyDescent="0.3">
      <c r="A9" s="9" t="s">
        <v>44</v>
      </c>
      <c r="B9" s="9" t="s">
        <v>45</v>
      </c>
      <c r="C9" s="9" t="s">
        <v>26</v>
      </c>
      <c r="D9" s="10" t="s">
        <v>53</v>
      </c>
      <c r="E9" s="9" t="s">
        <v>238</v>
      </c>
      <c r="F9" s="11">
        <v>7</v>
      </c>
      <c r="G9" s="12">
        <v>5</v>
      </c>
      <c r="H9" s="12">
        <v>90</v>
      </c>
      <c r="I9" s="11">
        <v>3.1</v>
      </c>
      <c r="J9" s="9" t="s">
        <v>48</v>
      </c>
      <c r="K9" s="13" t="s">
        <v>239</v>
      </c>
    </row>
    <row r="10" spans="1:11" ht="22.05" customHeight="1" x14ac:dyDescent="0.3">
      <c r="A10" s="9" t="s">
        <v>49</v>
      </c>
      <c r="B10" s="9" t="s">
        <v>50</v>
      </c>
      <c r="C10" s="9" t="s">
        <v>51</v>
      </c>
      <c r="D10" s="10">
        <v>20</v>
      </c>
      <c r="E10" s="9" t="s">
        <v>240</v>
      </c>
      <c r="F10" s="11" t="s">
        <v>53</v>
      </c>
      <c r="G10" s="12">
        <v>7</v>
      </c>
      <c r="H10" s="12">
        <v>86</v>
      </c>
      <c r="I10" s="11">
        <v>3.3</v>
      </c>
      <c r="J10" s="9" t="s">
        <v>54</v>
      </c>
      <c r="K10" s="13" t="s">
        <v>241</v>
      </c>
    </row>
    <row r="11" spans="1:11" ht="22.05" customHeight="1" x14ac:dyDescent="0.3">
      <c r="A11" s="9" t="s">
        <v>55</v>
      </c>
      <c r="B11" s="9" t="s">
        <v>56</v>
      </c>
      <c r="C11" s="9" t="s">
        <v>26</v>
      </c>
      <c r="D11" s="10">
        <v>23</v>
      </c>
      <c r="E11" s="9" t="s">
        <v>242</v>
      </c>
      <c r="F11" s="11" t="s">
        <v>53</v>
      </c>
      <c r="G11" s="12">
        <v>6</v>
      </c>
      <c r="H11" s="12">
        <v>89</v>
      </c>
      <c r="I11" s="11">
        <v>3.5</v>
      </c>
      <c r="J11" s="9" t="s">
        <v>59</v>
      </c>
      <c r="K11" s="13" t="s">
        <v>243</v>
      </c>
    </row>
    <row r="12" spans="1:11" ht="22.05" customHeight="1" x14ac:dyDescent="0.3">
      <c r="A12" s="9" t="s">
        <v>60</v>
      </c>
      <c r="B12" s="9" t="s">
        <v>61</v>
      </c>
      <c r="C12" s="9" t="s">
        <v>51</v>
      </c>
      <c r="D12" s="10">
        <v>18</v>
      </c>
      <c r="E12" s="9" t="s">
        <v>244</v>
      </c>
      <c r="F12" s="11">
        <v>4</v>
      </c>
      <c r="G12" s="12" t="s">
        <v>53</v>
      </c>
      <c r="H12" s="12">
        <v>92</v>
      </c>
      <c r="I12" s="11">
        <v>3</v>
      </c>
      <c r="J12" s="9" t="s">
        <v>63</v>
      </c>
      <c r="K12" s="13" t="s">
        <v>245</v>
      </c>
    </row>
    <row r="13" spans="1:11" ht="22.05" customHeight="1" x14ac:dyDescent="0.3">
      <c r="A13" s="9" t="s">
        <v>64</v>
      </c>
      <c r="B13" s="9" t="s">
        <v>65</v>
      </c>
      <c r="C13" s="9" t="s">
        <v>26</v>
      </c>
      <c r="D13" s="10">
        <v>21</v>
      </c>
      <c r="E13" s="9" t="s">
        <v>246</v>
      </c>
      <c r="F13" s="11" t="s">
        <v>53</v>
      </c>
      <c r="G13" s="12">
        <v>8</v>
      </c>
      <c r="H13" s="12" t="s">
        <v>53</v>
      </c>
      <c r="I13" s="11">
        <v>2.9</v>
      </c>
      <c r="J13" s="9" t="s">
        <v>67</v>
      </c>
      <c r="K13" s="13" t="s">
        <v>247</v>
      </c>
    </row>
    <row r="14" spans="1:11" ht="22.05" customHeight="1" x14ac:dyDescent="0.3">
      <c r="A14" s="9" t="s">
        <v>68</v>
      </c>
      <c r="B14" s="9" t="s">
        <v>69</v>
      </c>
      <c r="C14" s="9" t="s">
        <v>51</v>
      </c>
      <c r="D14" s="10">
        <v>20</v>
      </c>
      <c r="E14" s="9" t="s">
        <v>248</v>
      </c>
      <c r="F14" s="11">
        <v>6.5</v>
      </c>
      <c r="G14" s="12">
        <v>7</v>
      </c>
      <c r="H14" s="12" t="s">
        <v>53</v>
      </c>
      <c r="I14" s="11">
        <v>3.7</v>
      </c>
      <c r="J14" s="9" t="s">
        <v>71</v>
      </c>
      <c r="K14" s="13" t="s">
        <v>249</v>
      </c>
    </row>
    <row r="15" spans="1:11" ht="22.05" customHeight="1" x14ac:dyDescent="0.3">
      <c r="A15" s="9" t="s">
        <v>72</v>
      </c>
      <c r="B15" s="9" t="s">
        <v>73</v>
      </c>
      <c r="C15" s="9" t="s">
        <v>26</v>
      </c>
      <c r="D15" s="10" t="s">
        <v>53</v>
      </c>
      <c r="E15" s="9" t="s">
        <v>250</v>
      </c>
      <c r="F15" s="11">
        <v>7</v>
      </c>
      <c r="G15" s="12">
        <v>3</v>
      </c>
      <c r="H15" s="12">
        <v>93</v>
      </c>
      <c r="I15" s="11">
        <v>3.9</v>
      </c>
      <c r="J15" s="9" t="s">
        <v>75</v>
      </c>
      <c r="K15" s="13" t="s">
        <v>251</v>
      </c>
    </row>
    <row r="16" spans="1:11" ht="22.05" customHeight="1" x14ac:dyDescent="0.3">
      <c r="A16" s="9" t="s">
        <v>76</v>
      </c>
      <c r="B16" s="9" t="s">
        <v>77</v>
      </c>
      <c r="C16" s="9" t="s">
        <v>51</v>
      </c>
      <c r="D16" s="10">
        <v>19</v>
      </c>
      <c r="E16" s="9" t="s">
        <v>252</v>
      </c>
      <c r="F16" s="11">
        <v>8.5</v>
      </c>
      <c r="G16" s="12" t="s">
        <v>53</v>
      </c>
      <c r="H16" s="12">
        <v>87</v>
      </c>
      <c r="I16" s="11">
        <v>3.4</v>
      </c>
      <c r="J16" s="9" t="s">
        <v>79</v>
      </c>
      <c r="K16" s="13" t="s">
        <v>245</v>
      </c>
    </row>
    <row r="17" spans="1:11" ht="22.05" customHeight="1" x14ac:dyDescent="0.3">
      <c r="A17" s="9" t="s">
        <v>80</v>
      </c>
      <c r="B17" s="9" t="s">
        <v>81</v>
      </c>
      <c r="C17" s="9" t="s">
        <v>26</v>
      </c>
      <c r="D17" s="10">
        <v>22</v>
      </c>
      <c r="E17" s="9" t="s">
        <v>253</v>
      </c>
      <c r="F17" s="11">
        <v>7</v>
      </c>
      <c r="G17" s="12">
        <v>5</v>
      </c>
      <c r="H17" s="12">
        <v>90</v>
      </c>
      <c r="I17" s="11" t="s">
        <v>53</v>
      </c>
      <c r="J17" s="9" t="s">
        <v>83</v>
      </c>
      <c r="K17" s="13" t="s">
        <v>254</v>
      </c>
    </row>
    <row r="18" spans="1:11" ht="22.05" customHeight="1" x14ac:dyDescent="0.3">
      <c r="A18" s="9" t="s">
        <v>84</v>
      </c>
      <c r="B18" s="9" t="s">
        <v>85</v>
      </c>
      <c r="C18" s="9" t="s">
        <v>51</v>
      </c>
      <c r="D18" s="10">
        <v>21</v>
      </c>
      <c r="E18" s="9" t="s">
        <v>255</v>
      </c>
      <c r="F18" s="11">
        <v>5</v>
      </c>
      <c r="G18" s="12">
        <v>9</v>
      </c>
      <c r="H18" s="12">
        <v>82</v>
      </c>
      <c r="I18" s="11">
        <v>2.8</v>
      </c>
      <c r="J18" s="9" t="s">
        <v>87</v>
      </c>
      <c r="K18" s="13" t="s">
        <v>256</v>
      </c>
    </row>
    <row r="19" spans="1:11" ht="22.05" customHeight="1" x14ac:dyDescent="0.3">
      <c r="A19" s="9" t="s">
        <v>88</v>
      </c>
      <c r="B19" s="9" t="s">
        <v>89</v>
      </c>
      <c r="C19" s="9" t="s">
        <v>26</v>
      </c>
      <c r="D19" s="10" t="s">
        <v>53</v>
      </c>
      <c r="E19" s="9" t="s">
        <v>257</v>
      </c>
      <c r="F19" s="11">
        <v>6</v>
      </c>
      <c r="G19" s="12">
        <v>6</v>
      </c>
      <c r="H19" s="12">
        <v>79</v>
      </c>
      <c r="I19" s="11">
        <v>3.1</v>
      </c>
      <c r="J19" s="9" t="s">
        <v>91</v>
      </c>
      <c r="K19" s="13" t="s">
        <v>258</v>
      </c>
    </row>
    <row r="20" spans="1:11" ht="22.05" customHeight="1" x14ac:dyDescent="0.3">
      <c r="A20" s="9" t="s">
        <v>92</v>
      </c>
      <c r="B20" s="9" t="s">
        <v>93</v>
      </c>
      <c r="C20" s="9" t="s">
        <v>51</v>
      </c>
      <c r="D20" s="10">
        <v>20</v>
      </c>
      <c r="E20" s="9" t="s">
        <v>259</v>
      </c>
      <c r="F20" s="11">
        <v>7.5</v>
      </c>
      <c r="G20" s="12">
        <v>4</v>
      </c>
      <c r="H20" s="12">
        <v>85</v>
      </c>
      <c r="I20" s="11">
        <v>3.5</v>
      </c>
      <c r="J20" s="9" t="s">
        <v>53</v>
      </c>
      <c r="K20" s="13" t="s">
        <v>260</v>
      </c>
    </row>
    <row r="21" spans="1:11" ht="22.05" customHeight="1" x14ac:dyDescent="0.3">
      <c r="A21" s="9" t="s">
        <v>95</v>
      </c>
      <c r="B21" s="9" t="s">
        <v>96</v>
      </c>
      <c r="C21" s="9" t="s">
        <v>26</v>
      </c>
      <c r="D21" s="10">
        <v>23</v>
      </c>
      <c r="E21" s="9" t="s">
        <v>261</v>
      </c>
      <c r="F21" s="11">
        <v>3</v>
      </c>
      <c r="G21" s="12">
        <v>10</v>
      </c>
      <c r="H21" s="12">
        <v>97</v>
      </c>
      <c r="I21" s="11">
        <v>3</v>
      </c>
      <c r="J21" s="9" t="s">
        <v>98</v>
      </c>
      <c r="K21" s="13" t="s">
        <v>262</v>
      </c>
    </row>
    <row r="22" spans="1:11" ht="22.05" customHeight="1" x14ac:dyDescent="0.3">
      <c r="A22" s="9" t="s">
        <v>99</v>
      </c>
      <c r="B22" s="9" t="s">
        <v>100</v>
      </c>
      <c r="C22" s="9" t="s">
        <v>51</v>
      </c>
      <c r="D22" s="10">
        <v>21</v>
      </c>
      <c r="E22" s="9" t="s">
        <v>263</v>
      </c>
      <c r="F22" s="11">
        <v>11</v>
      </c>
      <c r="G22" s="12">
        <v>2</v>
      </c>
      <c r="H22" s="12">
        <v>90</v>
      </c>
      <c r="I22" s="11" t="s">
        <v>53</v>
      </c>
      <c r="J22" s="9" t="s">
        <v>102</v>
      </c>
      <c r="K22" s="13" t="s">
        <v>264</v>
      </c>
    </row>
    <row r="23" spans="1:11" ht="22.05" customHeight="1" x14ac:dyDescent="0.3">
      <c r="A23" s="9" t="s">
        <v>103</v>
      </c>
      <c r="B23" s="9" t="s">
        <v>104</v>
      </c>
      <c r="C23" s="9" t="s">
        <v>26</v>
      </c>
      <c r="D23" s="10">
        <v>22</v>
      </c>
      <c r="E23" s="9" t="s">
        <v>265</v>
      </c>
      <c r="F23" s="11">
        <v>6</v>
      </c>
      <c r="G23" s="12">
        <v>7</v>
      </c>
      <c r="H23" s="12">
        <v>88</v>
      </c>
      <c r="I23" s="11">
        <v>3.4</v>
      </c>
      <c r="J23" s="9" t="s">
        <v>107</v>
      </c>
      <c r="K23" s="13" t="s">
        <v>184</v>
      </c>
    </row>
    <row r="24" spans="1:11" ht="22.05" customHeight="1" x14ac:dyDescent="0.3">
      <c r="A24" s="9" t="s">
        <v>108</v>
      </c>
      <c r="B24" s="9" t="s">
        <v>109</v>
      </c>
      <c r="C24" s="9" t="s">
        <v>51</v>
      </c>
      <c r="D24" s="10">
        <v>20</v>
      </c>
      <c r="E24" s="9" t="s">
        <v>266</v>
      </c>
      <c r="F24" s="11">
        <v>7</v>
      </c>
      <c r="G24" s="12">
        <v>6</v>
      </c>
      <c r="H24" s="12">
        <v>91</v>
      </c>
      <c r="I24" s="11">
        <v>3.6</v>
      </c>
      <c r="J24" s="9" t="s">
        <v>111</v>
      </c>
      <c r="K24" s="13" t="s">
        <v>256</v>
      </c>
    </row>
    <row r="25" spans="1:11" ht="22.05" customHeight="1" x14ac:dyDescent="0.3">
      <c r="A25" s="9" t="s">
        <v>112</v>
      </c>
      <c r="B25" s="9" t="s">
        <v>113</v>
      </c>
      <c r="C25" s="9" t="s">
        <v>26</v>
      </c>
      <c r="D25" s="10">
        <v>21</v>
      </c>
      <c r="E25" s="9" t="s">
        <v>267</v>
      </c>
      <c r="F25" s="11">
        <v>5</v>
      </c>
      <c r="G25" s="12">
        <v>8</v>
      </c>
      <c r="H25" s="12">
        <v>83</v>
      </c>
      <c r="I25" s="11">
        <v>3.2</v>
      </c>
      <c r="J25" s="9" t="s">
        <v>115</v>
      </c>
      <c r="K25" s="13" t="s">
        <v>256</v>
      </c>
    </row>
    <row r="26" spans="1:11" ht="22.05" customHeight="1" x14ac:dyDescent="0.3">
      <c r="A26" s="9" t="s">
        <v>116</v>
      </c>
      <c r="B26" s="9" t="s">
        <v>117</v>
      </c>
      <c r="C26" s="9" t="s">
        <v>51</v>
      </c>
      <c r="D26" s="10">
        <v>19</v>
      </c>
      <c r="E26" s="9" t="s">
        <v>268</v>
      </c>
      <c r="F26" s="11">
        <v>8</v>
      </c>
      <c r="G26" s="12">
        <v>5</v>
      </c>
      <c r="H26" s="12">
        <v>86</v>
      </c>
      <c r="I26" s="11" t="s">
        <v>53</v>
      </c>
      <c r="J26" s="9" t="s">
        <v>119</v>
      </c>
      <c r="K26" s="13" t="s">
        <v>269</v>
      </c>
    </row>
    <row r="27" spans="1:11" ht="22.05" customHeight="1" x14ac:dyDescent="0.3">
      <c r="A27" s="9" t="s">
        <v>120</v>
      </c>
      <c r="B27" s="9" t="s">
        <v>121</v>
      </c>
      <c r="C27" s="9" t="s">
        <v>26</v>
      </c>
      <c r="D27" s="10">
        <v>22</v>
      </c>
      <c r="E27" s="9" t="s">
        <v>270</v>
      </c>
      <c r="F27" s="11">
        <v>4.5</v>
      </c>
      <c r="G27" s="12">
        <v>9</v>
      </c>
      <c r="H27" s="12">
        <v>80</v>
      </c>
      <c r="I27" s="11">
        <v>3</v>
      </c>
      <c r="J27" s="9" t="s">
        <v>123</v>
      </c>
      <c r="K27" s="13" t="s">
        <v>230</v>
      </c>
    </row>
    <row r="28" spans="1:11" ht="22.05" customHeight="1" x14ac:dyDescent="0.3">
      <c r="A28" s="9" t="s">
        <v>124</v>
      </c>
      <c r="B28" s="9" t="s">
        <v>125</v>
      </c>
      <c r="C28" s="9" t="s">
        <v>51</v>
      </c>
      <c r="D28" s="10">
        <v>20</v>
      </c>
      <c r="E28" s="9" t="s">
        <v>271</v>
      </c>
      <c r="F28" s="11" t="s">
        <v>53</v>
      </c>
      <c r="G28" s="12">
        <v>4</v>
      </c>
      <c r="H28" s="12">
        <v>89</v>
      </c>
      <c r="I28" s="11">
        <v>3.8</v>
      </c>
      <c r="J28" s="9" t="s">
        <v>127</v>
      </c>
      <c r="K28" s="13" t="s">
        <v>241</v>
      </c>
    </row>
  </sheetData>
  <mergeCells count="2">
    <mergeCell ref="A1:K1"/>
    <mergeCell ref="B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showGridLines="0" workbookViewId="0">
      <selection sqref="A1:H1"/>
    </sheetView>
  </sheetViews>
  <sheetFormatPr defaultRowHeight="14.4" x14ac:dyDescent="0.3"/>
  <cols>
    <col min="1" max="1" width="8" customWidth="1"/>
    <col min="2" max="2" width="18" customWidth="1"/>
    <col min="3" max="3" width="16" customWidth="1"/>
    <col min="4" max="4" width="28" customWidth="1"/>
    <col min="5" max="5" width="14" customWidth="1"/>
    <col min="6" max="7" width="16" customWidth="1"/>
    <col min="8" max="8" width="20" customWidth="1"/>
    <col min="10" max="10" width="18" customWidth="1"/>
    <col min="11" max="11" width="16" customWidth="1"/>
  </cols>
  <sheetData>
    <row r="1" spans="1:11" ht="21" x14ac:dyDescent="0.4">
      <c r="A1" s="30" t="s">
        <v>272</v>
      </c>
      <c r="B1" s="22"/>
      <c r="C1" s="22"/>
      <c r="D1" s="22"/>
      <c r="E1" s="22"/>
      <c r="F1" s="22"/>
      <c r="G1" s="22"/>
      <c r="H1" s="22"/>
    </row>
    <row r="3" spans="1:11" ht="28.8" x14ac:dyDescent="0.3">
      <c r="A3" s="2" t="s">
        <v>273</v>
      </c>
      <c r="B3" s="2" t="s">
        <v>274</v>
      </c>
      <c r="C3" s="2" t="s">
        <v>275</v>
      </c>
      <c r="D3" s="2" t="s">
        <v>276</v>
      </c>
      <c r="E3" s="2" t="s">
        <v>277</v>
      </c>
      <c r="F3" s="2" t="s">
        <v>278</v>
      </c>
      <c r="G3" s="2" t="s">
        <v>279</v>
      </c>
      <c r="H3" s="2" t="s">
        <v>280</v>
      </c>
      <c r="J3" s="14" t="s">
        <v>281</v>
      </c>
      <c r="K3" s="14" t="s">
        <v>282</v>
      </c>
    </row>
    <row r="4" spans="1:11" ht="28.8" x14ac:dyDescent="0.3">
      <c r="A4" s="7">
        <v>1</v>
      </c>
      <c r="B4" s="7" t="s">
        <v>11</v>
      </c>
      <c r="C4" s="7" t="s">
        <v>136</v>
      </c>
      <c r="D4" s="7" t="s">
        <v>283</v>
      </c>
      <c r="E4" s="7">
        <v>1</v>
      </c>
      <c r="F4" s="7" t="s">
        <v>284</v>
      </c>
      <c r="G4" s="7" t="s">
        <v>285</v>
      </c>
      <c r="H4" s="8" t="s">
        <v>286</v>
      </c>
      <c r="J4" s="15" t="s">
        <v>287</v>
      </c>
      <c r="K4" s="16">
        <f>COUNTA(Raw_Data!A5:A29)</f>
        <v>25</v>
      </c>
    </row>
    <row r="5" spans="1:11" ht="22.05" customHeight="1" x14ac:dyDescent="0.3">
      <c r="A5" s="7">
        <v>2</v>
      </c>
      <c r="B5" s="7" t="s">
        <v>13</v>
      </c>
      <c r="C5" s="7" t="s">
        <v>288</v>
      </c>
      <c r="D5" s="7" t="s">
        <v>289</v>
      </c>
      <c r="E5" s="7">
        <v>16</v>
      </c>
      <c r="F5" s="7" t="s">
        <v>290</v>
      </c>
      <c r="G5" s="7" t="s">
        <v>285</v>
      </c>
      <c r="H5" s="8" t="s">
        <v>286</v>
      </c>
      <c r="J5" s="15" t="s">
        <v>291</v>
      </c>
      <c r="K5" s="16">
        <f>COUNTA(Cleaned_Data!A5:A28)</f>
        <v>24</v>
      </c>
    </row>
    <row r="6" spans="1:11" ht="22.05" customHeight="1" x14ac:dyDescent="0.3">
      <c r="A6" s="7">
        <v>3</v>
      </c>
      <c r="B6" s="7" t="s">
        <v>292</v>
      </c>
      <c r="C6" s="7" t="s">
        <v>293</v>
      </c>
      <c r="D6" s="7" t="s">
        <v>294</v>
      </c>
      <c r="E6" s="7">
        <v>4</v>
      </c>
      <c r="F6" s="7" t="s">
        <v>295</v>
      </c>
      <c r="G6" s="7" t="s">
        <v>285</v>
      </c>
      <c r="H6" s="8" t="s">
        <v>286</v>
      </c>
      <c r="J6" s="15" t="s">
        <v>296</v>
      </c>
      <c r="K6" s="16">
        <f>COUNTA(Raw_Data!A5:A29)-COUNTA(Cleaned_Data!A5:A28)</f>
        <v>1</v>
      </c>
    </row>
    <row r="7" spans="1:11" ht="22.05" customHeight="1" x14ac:dyDescent="0.3">
      <c r="A7" s="7">
        <v>4</v>
      </c>
      <c r="B7" s="7" t="s">
        <v>15</v>
      </c>
      <c r="C7" s="7" t="s">
        <v>152</v>
      </c>
      <c r="D7" s="7" t="s">
        <v>297</v>
      </c>
      <c r="E7" s="7">
        <v>24</v>
      </c>
      <c r="F7" s="7" t="s">
        <v>298</v>
      </c>
      <c r="G7" s="7" t="s">
        <v>285</v>
      </c>
      <c r="H7" s="8" t="s">
        <v>286</v>
      </c>
      <c r="J7" s="15" t="s">
        <v>299</v>
      </c>
      <c r="K7" s="16">
        <f>SUM(Raw_Data!K5:K29)</f>
        <v>2</v>
      </c>
    </row>
    <row r="8" spans="1:11" ht="22.05" customHeight="1" x14ac:dyDescent="0.3">
      <c r="A8" s="7">
        <v>5</v>
      </c>
      <c r="B8" s="7" t="s">
        <v>14</v>
      </c>
      <c r="C8" s="7" t="s">
        <v>300</v>
      </c>
      <c r="D8" s="7" t="s">
        <v>301</v>
      </c>
      <c r="E8" s="7">
        <v>3</v>
      </c>
      <c r="F8" s="7" t="s">
        <v>302</v>
      </c>
      <c r="G8" s="7" t="s">
        <v>285</v>
      </c>
      <c r="H8" s="8" t="s">
        <v>286</v>
      </c>
      <c r="J8" s="15" t="s">
        <v>303</v>
      </c>
      <c r="K8" s="16">
        <f>SUM(Raw_Data!M5:M29)</f>
        <v>9</v>
      </c>
    </row>
    <row r="9" spans="1:11" ht="22.05" customHeight="1" x14ac:dyDescent="0.3">
      <c r="A9" s="7">
        <v>6</v>
      </c>
      <c r="B9" s="7" t="s">
        <v>16</v>
      </c>
      <c r="C9" s="7" t="s">
        <v>304</v>
      </c>
      <c r="D9" s="7" t="s">
        <v>305</v>
      </c>
      <c r="E9" s="7">
        <v>4</v>
      </c>
      <c r="F9" s="7" t="s">
        <v>302</v>
      </c>
      <c r="G9" s="7" t="s">
        <v>285</v>
      </c>
      <c r="H9" s="8" t="s">
        <v>286</v>
      </c>
      <c r="J9" s="15" t="s">
        <v>306</v>
      </c>
      <c r="K9" s="16">
        <f>SUM(Raw_Data!L5:L29)</f>
        <v>6</v>
      </c>
    </row>
    <row r="10" spans="1:11" ht="22.05" customHeight="1" x14ac:dyDescent="0.3">
      <c r="A10" s="7">
        <v>7</v>
      </c>
      <c r="B10" s="7" t="s">
        <v>17</v>
      </c>
      <c r="C10" s="7" t="s">
        <v>157</v>
      </c>
      <c r="D10" s="7" t="s">
        <v>307</v>
      </c>
      <c r="E10" s="7">
        <v>2</v>
      </c>
      <c r="F10" s="7" t="s">
        <v>302</v>
      </c>
      <c r="G10" s="7" t="s">
        <v>285</v>
      </c>
      <c r="H10" s="8" t="s">
        <v>286</v>
      </c>
    </row>
    <row r="11" spans="1:11" ht="22.05" customHeight="1" x14ac:dyDescent="0.3">
      <c r="A11" s="7">
        <v>8</v>
      </c>
      <c r="B11" s="7" t="s">
        <v>18</v>
      </c>
      <c r="C11" s="7" t="s">
        <v>157</v>
      </c>
      <c r="D11" s="7" t="s">
        <v>308</v>
      </c>
      <c r="E11" s="7">
        <v>2</v>
      </c>
      <c r="F11" s="7" t="s">
        <v>302</v>
      </c>
      <c r="G11" s="7" t="s">
        <v>285</v>
      </c>
      <c r="H11" s="8" t="s">
        <v>286</v>
      </c>
    </row>
    <row r="12" spans="1:11" ht="22.05" customHeight="1" x14ac:dyDescent="0.3">
      <c r="A12" s="7">
        <v>9</v>
      </c>
      <c r="B12" s="7" t="s">
        <v>19</v>
      </c>
      <c r="C12" s="7" t="s">
        <v>304</v>
      </c>
      <c r="D12" s="7" t="s">
        <v>309</v>
      </c>
      <c r="E12" s="7">
        <v>3</v>
      </c>
      <c r="F12" s="7" t="s">
        <v>302</v>
      </c>
      <c r="G12" s="7" t="s">
        <v>285</v>
      </c>
      <c r="H12" s="8" t="s">
        <v>286</v>
      </c>
    </row>
    <row r="13" spans="1:11" ht="22.05" customHeight="1" x14ac:dyDescent="0.3">
      <c r="A13" s="7">
        <v>10</v>
      </c>
      <c r="B13" s="7" t="s">
        <v>221</v>
      </c>
      <c r="C13" s="7" t="s">
        <v>310</v>
      </c>
      <c r="D13" s="7" t="s">
        <v>311</v>
      </c>
      <c r="E13" s="7">
        <v>24</v>
      </c>
      <c r="F13" s="7" t="s">
        <v>312</v>
      </c>
      <c r="G13" s="7" t="s">
        <v>285</v>
      </c>
      <c r="H13" s="8" t="s">
        <v>286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27"/>
  <sheetViews>
    <sheetView showGridLines="0" tabSelected="1" workbookViewId="0">
      <selection activeCell="N9" sqref="N9"/>
    </sheetView>
  </sheetViews>
  <sheetFormatPr defaultRowHeight="14.4" x14ac:dyDescent="0.3"/>
  <cols>
    <col min="1" max="1" width="4" customWidth="1"/>
    <col min="2" max="3" width="16" customWidth="1"/>
    <col min="4" max="4" width="4" customWidth="1"/>
    <col min="5" max="6" width="16" customWidth="1"/>
    <col min="7" max="7" width="4" customWidth="1"/>
    <col min="8" max="9" width="16" customWidth="1"/>
    <col min="10" max="10" width="4" customWidth="1"/>
    <col min="11" max="12" width="16" customWidth="1"/>
    <col min="13" max="13" width="4" customWidth="1"/>
    <col min="14" max="15" width="16" customWidth="1"/>
  </cols>
  <sheetData>
    <row r="1" spans="2:15" ht="24" customHeight="1" x14ac:dyDescent="0.3"/>
    <row r="2" spans="2:15" ht="24" customHeight="1" x14ac:dyDescent="0.45">
      <c r="B2" s="40" t="s">
        <v>313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7"/>
      <c r="N2" s="14" t="s">
        <v>281</v>
      </c>
      <c r="O2" s="14" t="s">
        <v>314</v>
      </c>
    </row>
    <row r="3" spans="2:15" ht="24" customHeight="1" x14ac:dyDescent="0.3">
      <c r="B3" s="33" t="s">
        <v>315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17"/>
      <c r="N3" s="20" t="s">
        <v>316</v>
      </c>
      <c r="O3" s="20">
        <f>SUM(Raw_Data!L5:L29)</f>
        <v>6</v>
      </c>
    </row>
    <row r="4" spans="2:15" ht="24" customHeight="1" x14ac:dyDescent="0.3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20" t="s">
        <v>317</v>
      </c>
      <c r="O4" s="20">
        <f>SUM(Raw_Data!K5:K29)</f>
        <v>2</v>
      </c>
    </row>
    <row r="5" spans="2:15" ht="22.05" customHeight="1" x14ac:dyDescent="0.3">
      <c r="B5" s="48" t="s">
        <v>318</v>
      </c>
      <c r="C5" s="22"/>
      <c r="D5" s="17"/>
      <c r="E5" s="34" t="s">
        <v>319</v>
      </c>
      <c r="F5" s="22"/>
      <c r="G5" s="17"/>
      <c r="H5" s="49" t="s">
        <v>320</v>
      </c>
      <c r="I5" s="22"/>
      <c r="J5" s="17"/>
      <c r="K5" s="35" t="s">
        <v>321</v>
      </c>
      <c r="L5" s="22"/>
      <c r="M5" s="17"/>
      <c r="N5" s="20" t="s">
        <v>322</v>
      </c>
      <c r="O5" s="20">
        <f>SUM(Raw_Data!M5:M29)</f>
        <v>9</v>
      </c>
    </row>
    <row r="6" spans="2:15" ht="22.05" customHeight="1" x14ac:dyDescent="0.3">
      <c r="B6" s="46">
        <f>COUNTA(Raw_Data!A5:A29)</f>
        <v>25</v>
      </c>
      <c r="C6" s="22"/>
      <c r="D6" s="17"/>
      <c r="E6" s="41">
        <f>COUNTA(Cleaned_Data!A5:A28)</f>
        <v>24</v>
      </c>
      <c r="F6" s="22"/>
      <c r="G6" s="17"/>
      <c r="H6" s="42">
        <f>COUNTA(Raw_Data!A5:A29)-COUNTA(Cleaned_Data!A5:A28)</f>
        <v>1</v>
      </c>
      <c r="I6" s="22"/>
      <c r="J6" s="17"/>
      <c r="K6" s="51">
        <f>SUM(Raw_Data!L5:L29)</f>
        <v>6</v>
      </c>
      <c r="L6" s="22"/>
      <c r="M6" s="17"/>
      <c r="N6" s="20" t="s">
        <v>320</v>
      </c>
      <c r="O6" s="20">
        <f>COUNTA(Raw_Data!A5:A29)-COUNTA(Cleaned_Data!A5:A28)</f>
        <v>1</v>
      </c>
    </row>
    <row r="7" spans="2:15" ht="22.05" customHeight="1" x14ac:dyDescent="0.3">
      <c r="B7" s="22"/>
      <c r="C7" s="22"/>
      <c r="D7" s="17"/>
      <c r="E7" s="22"/>
      <c r="F7" s="22"/>
      <c r="G7" s="17"/>
      <c r="H7" s="22"/>
      <c r="I7" s="22"/>
      <c r="J7" s="17"/>
      <c r="K7" s="22"/>
      <c r="L7" s="22"/>
      <c r="M7" s="17"/>
      <c r="N7" s="17"/>
      <c r="O7" s="17"/>
    </row>
    <row r="8" spans="2:15" ht="22.05" customHeight="1" x14ac:dyDescent="0.3">
      <c r="B8" s="22"/>
      <c r="C8" s="22"/>
      <c r="D8" s="17"/>
      <c r="E8" s="22"/>
      <c r="F8" s="22"/>
      <c r="G8" s="17"/>
      <c r="H8" s="22"/>
      <c r="I8" s="22"/>
      <c r="J8" s="17"/>
      <c r="K8" s="22"/>
      <c r="L8" s="22"/>
      <c r="M8" s="17"/>
      <c r="N8" s="17"/>
      <c r="O8" s="17"/>
    </row>
    <row r="9" spans="2:15" ht="22.05" customHeight="1" x14ac:dyDescent="0.3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2:15" ht="22.05" customHeight="1" x14ac:dyDescent="0.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2:15" ht="22.05" customHeight="1" x14ac:dyDescent="0.3">
      <c r="B11" s="39" t="s">
        <v>317</v>
      </c>
      <c r="C11" s="22"/>
      <c r="D11" s="17"/>
      <c r="E11" s="45" t="s">
        <v>322</v>
      </c>
      <c r="F11" s="22"/>
      <c r="G11" s="17"/>
      <c r="H11" s="43" t="s">
        <v>323</v>
      </c>
      <c r="I11" s="22"/>
      <c r="J11" s="17"/>
      <c r="K11" s="38" t="s">
        <v>324</v>
      </c>
      <c r="L11" s="22"/>
      <c r="M11" s="17"/>
      <c r="N11" s="17"/>
      <c r="O11" s="17"/>
    </row>
    <row r="12" spans="2:15" ht="22.05" customHeight="1" x14ac:dyDescent="0.3">
      <c r="B12" s="37">
        <f>SUM(Raw_Data!K5:K29)</f>
        <v>2</v>
      </c>
      <c r="C12" s="22"/>
      <c r="D12" s="17"/>
      <c r="E12" s="31">
        <f>SUM(Raw_Data!M5:M29)</f>
        <v>9</v>
      </c>
      <c r="F12" s="22"/>
      <c r="G12" s="17"/>
      <c r="H12" s="50">
        <f>COUNTA(Cleaned_Data!A5:A28)/COUNTA(Raw_Data!A5:A29)</f>
        <v>0.96</v>
      </c>
      <c r="I12" s="22"/>
      <c r="J12" s="17"/>
      <c r="K12" s="44">
        <f>6</f>
        <v>6</v>
      </c>
      <c r="L12" s="22"/>
      <c r="M12" s="17"/>
      <c r="N12" s="17"/>
      <c r="O12" s="17"/>
    </row>
    <row r="13" spans="2:15" ht="22.05" customHeight="1" x14ac:dyDescent="0.3">
      <c r="B13" s="22"/>
      <c r="C13" s="22"/>
      <c r="D13" s="17"/>
      <c r="E13" s="22"/>
      <c r="F13" s="22"/>
      <c r="G13" s="17"/>
      <c r="H13" s="22"/>
      <c r="I13" s="22"/>
      <c r="J13" s="17"/>
      <c r="K13" s="22"/>
      <c r="L13" s="22"/>
      <c r="M13" s="17"/>
      <c r="N13" s="17"/>
      <c r="O13" s="17"/>
    </row>
    <row r="14" spans="2:15" ht="22.05" customHeight="1" x14ac:dyDescent="0.3">
      <c r="B14" s="22"/>
      <c r="C14" s="22"/>
      <c r="D14" s="17"/>
      <c r="E14" s="22"/>
      <c r="F14" s="22"/>
      <c r="G14" s="17"/>
      <c r="H14" s="22"/>
      <c r="I14" s="22"/>
      <c r="J14" s="17"/>
      <c r="K14" s="22"/>
      <c r="L14" s="22"/>
      <c r="M14" s="17"/>
      <c r="N14" s="17"/>
      <c r="O14" s="17"/>
    </row>
    <row r="15" spans="2:15" ht="22.05" customHeight="1" x14ac:dyDescent="0.3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2:15" ht="22.05" customHeight="1" x14ac:dyDescent="0.3">
      <c r="B16" s="32" t="s">
        <v>325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7"/>
      <c r="N16" s="17"/>
      <c r="O16" s="17"/>
    </row>
    <row r="17" spans="2:15" ht="22.05" customHeight="1" x14ac:dyDescent="0.3">
      <c r="B17" s="47" t="s">
        <v>281</v>
      </c>
      <c r="C17" s="22"/>
      <c r="D17" s="22"/>
      <c r="E17" s="22"/>
      <c r="F17" s="47" t="s">
        <v>326</v>
      </c>
      <c r="G17" s="22"/>
      <c r="H17" s="22"/>
      <c r="I17" s="22"/>
      <c r="J17" s="22"/>
      <c r="K17" s="22"/>
      <c r="L17" s="22"/>
      <c r="M17" s="17"/>
      <c r="N17" s="17"/>
      <c r="O17" s="17"/>
    </row>
    <row r="18" spans="2:15" ht="22.05" customHeight="1" x14ac:dyDescent="0.3">
      <c r="B18" s="36" t="s">
        <v>321</v>
      </c>
      <c r="C18" s="22"/>
      <c r="D18" s="22"/>
      <c r="E18" s="22"/>
      <c r="F18" s="36" t="s">
        <v>327</v>
      </c>
      <c r="G18" s="22"/>
      <c r="H18" s="22"/>
      <c r="I18" s="22"/>
      <c r="J18" s="22"/>
      <c r="K18" s="22"/>
      <c r="L18" s="22"/>
      <c r="M18" s="17"/>
      <c r="N18" s="17"/>
      <c r="O18" s="17"/>
    </row>
    <row r="19" spans="2:15" ht="22.05" customHeight="1" x14ac:dyDescent="0.3">
      <c r="B19" s="36" t="s">
        <v>317</v>
      </c>
      <c r="C19" s="22"/>
      <c r="D19" s="22"/>
      <c r="E19" s="22"/>
      <c r="F19" s="36" t="s">
        <v>328</v>
      </c>
      <c r="G19" s="22"/>
      <c r="H19" s="22"/>
      <c r="I19" s="22"/>
      <c r="J19" s="22"/>
      <c r="K19" s="22"/>
      <c r="L19" s="22"/>
      <c r="M19" s="17"/>
      <c r="N19" s="17"/>
      <c r="O19" s="17"/>
    </row>
    <row r="20" spans="2:15" ht="22.05" customHeight="1" x14ac:dyDescent="0.3">
      <c r="B20" s="36" t="s">
        <v>322</v>
      </c>
      <c r="C20" s="22"/>
      <c r="D20" s="22"/>
      <c r="E20" s="22"/>
      <c r="F20" s="36" t="s">
        <v>329</v>
      </c>
      <c r="G20" s="22"/>
      <c r="H20" s="22"/>
      <c r="I20" s="22"/>
      <c r="J20" s="22"/>
      <c r="K20" s="22"/>
      <c r="L20" s="22"/>
      <c r="M20" s="17"/>
      <c r="N20" s="17"/>
      <c r="O20" s="17"/>
    </row>
    <row r="21" spans="2:15" ht="22.05" customHeight="1" x14ac:dyDescent="0.3">
      <c r="B21" s="36" t="s">
        <v>323</v>
      </c>
      <c r="C21" s="22"/>
      <c r="D21" s="22"/>
      <c r="E21" s="22"/>
      <c r="F21" s="36" t="s">
        <v>330</v>
      </c>
      <c r="G21" s="22"/>
      <c r="H21" s="22"/>
      <c r="I21" s="22"/>
      <c r="J21" s="22"/>
      <c r="K21" s="22"/>
      <c r="L21" s="22"/>
      <c r="M21" s="17"/>
      <c r="N21" s="17"/>
      <c r="O21" s="17"/>
    </row>
    <row r="22" spans="2:15" ht="24" customHeight="1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15" ht="24" customHeight="1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15" ht="24" customHeight="1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2:15" ht="24" customHeight="1" x14ac:dyDescent="0.3"/>
    <row r="26" spans="2:15" ht="24" customHeight="1" x14ac:dyDescent="0.3"/>
    <row r="27" spans="2:15" ht="24" customHeight="1" x14ac:dyDescent="0.3"/>
  </sheetData>
  <mergeCells count="29">
    <mergeCell ref="B21:E21"/>
    <mergeCell ref="F21:L21"/>
    <mergeCell ref="B6:C8"/>
    <mergeCell ref="F20:L20"/>
    <mergeCell ref="F18:L18"/>
    <mergeCell ref="B17:E17"/>
    <mergeCell ref="F17:L17"/>
    <mergeCell ref="B19:E19"/>
    <mergeCell ref="H12:I14"/>
    <mergeCell ref="K6:L8"/>
    <mergeCell ref="B20:E20"/>
    <mergeCell ref="B12:C14"/>
    <mergeCell ref="K11:L11"/>
    <mergeCell ref="B11:C11"/>
    <mergeCell ref="B2:L2"/>
    <mergeCell ref="E6:F8"/>
    <mergeCell ref="F19:L19"/>
    <mergeCell ref="H6:I8"/>
    <mergeCell ref="H11:I11"/>
    <mergeCell ref="B18:E18"/>
    <mergeCell ref="K12:L14"/>
    <mergeCell ref="E11:F11"/>
    <mergeCell ref="B5:C5"/>
    <mergeCell ref="H5:I5"/>
    <mergeCell ref="E12:F14"/>
    <mergeCell ref="B16:L16"/>
    <mergeCell ref="B3:L3"/>
    <mergeCell ref="E5:F5"/>
    <mergeCell ref="K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Raw_Data</vt:lpstr>
      <vt:lpstr>Issues_Identified</vt:lpstr>
      <vt:lpstr>Cleaning_Rules</vt:lpstr>
      <vt:lpstr>Cleaned_Data</vt:lpstr>
      <vt:lpstr>Cleaning_Log</vt:lpstr>
      <vt:lpstr>Summary_Dashboard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editor</cp:lastModifiedBy>
  <dcterms:created xsi:type="dcterms:W3CDTF">2026-03-07T11:04:26Z</dcterms:created>
  <dcterms:modified xsi:type="dcterms:W3CDTF">2026-03-07T11:04:26Z</dcterms:modified>
</cp:coreProperties>
</file>