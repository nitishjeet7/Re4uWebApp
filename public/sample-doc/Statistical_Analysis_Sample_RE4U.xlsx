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MY fies\Custom Office Templates\EDITING SAMPLE\SERVICES OVERVIEW - ALL SAMPLES\SAMPLE SECTION\"/>
    </mc:Choice>
  </mc:AlternateContent>
  <xr:revisionPtr revIDLastSave="0" documentId="13_ncr:1_{A2E4F2BF-0642-4EFD-9C41-76945DACD9DB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Cover" sheetId="1" r:id="rId1"/>
    <sheet name="Read Me" sheetId="2" r:id="rId2"/>
    <sheet name="Data Dictionary" sheetId="3" r:id="rId3"/>
    <sheet name="Raw Data" sheetId="4" r:id="rId4"/>
    <sheet name="Data Quality" sheetId="5" r:id="rId5"/>
    <sheet name="Descriptive Stats" sheetId="6" r:id="rId6"/>
    <sheet name="Test Results" sheetId="7" r:id="rId7"/>
    <sheet name="Interpretation Notes" sheetId="8" r:id="rId8"/>
    <sheet name="Dashboar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1" i="7" l="1"/>
  <c r="P121" i="7"/>
  <c r="R121" i="7" s="1"/>
  <c r="N121" i="7"/>
  <c r="M121" i="7"/>
  <c r="R120" i="7"/>
  <c r="Q120" i="7"/>
  <c r="P120" i="7"/>
  <c r="N120" i="7"/>
  <c r="M120" i="7"/>
  <c r="R119" i="7"/>
  <c r="Q119" i="7"/>
  <c r="P119" i="7"/>
  <c r="N119" i="7"/>
  <c r="M119" i="7"/>
  <c r="R118" i="7"/>
  <c r="Q118" i="7"/>
  <c r="P118" i="7"/>
  <c r="N118" i="7"/>
  <c r="M118" i="7"/>
  <c r="R117" i="7"/>
  <c r="Q117" i="7"/>
  <c r="P117" i="7"/>
  <c r="N117" i="7"/>
  <c r="M117" i="7"/>
  <c r="R116" i="7"/>
  <c r="Q116" i="7"/>
  <c r="P116" i="7"/>
  <c r="N116" i="7"/>
  <c r="M116" i="7"/>
  <c r="R115" i="7"/>
  <c r="Q115" i="7"/>
  <c r="P115" i="7"/>
  <c r="N115" i="7"/>
  <c r="M115" i="7"/>
  <c r="R114" i="7"/>
  <c r="Q114" i="7"/>
  <c r="P114" i="7"/>
  <c r="N114" i="7"/>
  <c r="M114" i="7"/>
  <c r="R113" i="7"/>
  <c r="Q113" i="7"/>
  <c r="P113" i="7"/>
  <c r="N113" i="7"/>
  <c r="M113" i="7"/>
  <c r="R112" i="7"/>
  <c r="Q112" i="7"/>
  <c r="P112" i="7"/>
  <c r="N112" i="7"/>
  <c r="M112" i="7"/>
  <c r="R111" i="7"/>
  <c r="Q111" i="7"/>
  <c r="P111" i="7"/>
  <c r="N111" i="7"/>
  <c r="M111" i="7"/>
  <c r="R110" i="7"/>
  <c r="Q110" i="7"/>
  <c r="P110" i="7"/>
  <c r="N110" i="7"/>
  <c r="M110" i="7"/>
  <c r="R109" i="7"/>
  <c r="Q109" i="7"/>
  <c r="P109" i="7"/>
  <c r="N109" i="7"/>
  <c r="M109" i="7"/>
  <c r="R108" i="7"/>
  <c r="Q108" i="7"/>
  <c r="P108" i="7"/>
  <c r="N108" i="7"/>
  <c r="M108" i="7"/>
  <c r="R107" i="7"/>
  <c r="Q107" i="7"/>
  <c r="P107" i="7"/>
  <c r="N107" i="7"/>
  <c r="M107" i="7"/>
  <c r="R106" i="7"/>
  <c r="Q106" i="7"/>
  <c r="P106" i="7"/>
  <c r="N106" i="7"/>
  <c r="M106" i="7"/>
  <c r="R105" i="7"/>
  <c r="Q105" i="7"/>
  <c r="P105" i="7"/>
  <c r="N105" i="7"/>
  <c r="M105" i="7"/>
  <c r="R104" i="7"/>
  <c r="Q104" i="7"/>
  <c r="P104" i="7"/>
  <c r="N104" i="7"/>
  <c r="M104" i="7"/>
  <c r="R103" i="7"/>
  <c r="Q103" i="7"/>
  <c r="P103" i="7"/>
  <c r="N103" i="7"/>
  <c r="M103" i="7"/>
  <c r="R102" i="7"/>
  <c r="Q102" i="7"/>
  <c r="P102" i="7"/>
  <c r="N102" i="7"/>
  <c r="M102" i="7"/>
  <c r="R101" i="7"/>
  <c r="Q101" i="7"/>
  <c r="P101" i="7"/>
  <c r="N101" i="7"/>
  <c r="M101" i="7"/>
  <c r="R100" i="7"/>
  <c r="Q100" i="7"/>
  <c r="P100" i="7"/>
  <c r="N100" i="7"/>
  <c r="M100" i="7"/>
  <c r="R99" i="7"/>
  <c r="Q99" i="7"/>
  <c r="P99" i="7"/>
  <c r="N99" i="7"/>
  <c r="M99" i="7"/>
  <c r="R98" i="7"/>
  <c r="Q98" i="7"/>
  <c r="P98" i="7"/>
  <c r="N98" i="7"/>
  <c r="M98" i="7"/>
  <c r="R97" i="7"/>
  <c r="Q97" i="7"/>
  <c r="P97" i="7"/>
  <c r="N97" i="7"/>
  <c r="M97" i="7"/>
  <c r="R96" i="7"/>
  <c r="Q96" i="7"/>
  <c r="P96" i="7"/>
  <c r="N96" i="7"/>
  <c r="M96" i="7"/>
  <c r="R95" i="7"/>
  <c r="Q95" i="7"/>
  <c r="P95" i="7"/>
  <c r="N95" i="7"/>
  <c r="M95" i="7"/>
  <c r="R94" i="7"/>
  <c r="Q94" i="7"/>
  <c r="P94" i="7"/>
  <c r="N94" i="7"/>
  <c r="M94" i="7"/>
  <c r="R93" i="7"/>
  <c r="Q93" i="7"/>
  <c r="P93" i="7"/>
  <c r="N93" i="7"/>
  <c r="M93" i="7"/>
  <c r="R92" i="7"/>
  <c r="Q92" i="7"/>
  <c r="P92" i="7"/>
  <c r="N92" i="7"/>
  <c r="M92" i="7"/>
  <c r="R91" i="7"/>
  <c r="Q91" i="7"/>
  <c r="P91" i="7"/>
  <c r="N91" i="7"/>
  <c r="M91" i="7"/>
  <c r="R90" i="7"/>
  <c r="Q90" i="7"/>
  <c r="P90" i="7"/>
  <c r="N90" i="7"/>
  <c r="M90" i="7"/>
  <c r="R89" i="7"/>
  <c r="Q89" i="7"/>
  <c r="P89" i="7"/>
  <c r="N89" i="7"/>
  <c r="M89" i="7"/>
  <c r="R88" i="7"/>
  <c r="Q88" i="7"/>
  <c r="P88" i="7"/>
  <c r="N88" i="7"/>
  <c r="M88" i="7"/>
  <c r="R87" i="7"/>
  <c r="Q87" i="7"/>
  <c r="P87" i="7"/>
  <c r="N87" i="7"/>
  <c r="M87" i="7"/>
  <c r="R86" i="7"/>
  <c r="Q86" i="7"/>
  <c r="P86" i="7"/>
  <c r="N86" i="7"/>
  <c r="M86" i="7"/>
  <c r="R85" i="7"/>
  <c r="Q85" i="7"/>
  <c r="P85" i="7"/>
  <c r="N85" i="7"/>
  <c r="M85" i="7"/>
  <c r="R84" i="7"/>
  <c r="Q84" i="7"/>
  <c r="P84" i="7"/>
  <c r="N84" i="7"/>
  <c r="M84" i="7"/>
  <c r="R83" i="7"/>
  <c r="Q83" i="7"/>
  <c r="P83" i="7"/>
  <c r="N83" i="7"/>
  <c r="M83" i="7"/>
  <c r="R82" i="7"/>
  <c r="Q82" i="7"/>
  <c r="P82" i="7"/>
  <c r="N82" i="7"/>
  <c r="M82" i="7"/>
  <c r="R81" i="7"/>
  <c r="Q81" i="7"/>
  <c r="P81" i="7"/>
  <c r="N81" i="7"/>
  <c r="M81" i="7"/>
  <c r="R80" i="7"/>
  <c r="Q80" i="7"/>
  <c r="P80" i="7"/>
  <c r="N80" i="7"/>
  <c r="M80" i="7"/>
  <c r="R79" i="7"/>
  <c r="Q79" i="7"/>
  <c r="P79" i="7"/>
  <c r="N79" i="7"/>
  <c r="M79" i="7"/>
  <c r="R78" i="7"/>
  <c r="Q78" i="7"/>
  <c r="P78" i="7"/>
  <c r="N78" i="7"/>
  <c r="M78" i="7"/>
  <c r="R77" i="7"/>
  <c r="Q77" i="7"/>
  <c r="P77" i="7"/>
  <c r="N77" i="7"/>
  <c r="M77" i="7"/>
  <c r="R76" i="7"/>
  <c r="Q76" i="7"/>
  <c r="P76" i="7"/>
  <c r="N76" i="7"/>
  <c r="M76" i="7"/>
  <c r="R75" i="7"/>
  <c r="Q75" i="7"/>
  <c r="P75" i="7"/>
  <c r="N75" i="7"/>
  <c r="M75" i="7"/>
  <c r="R74" i="7"/>
  <c r="Q74" i="7"/>
  <c r="P74" i="7"/>
  <c r="N74" i="7"/>
  <c r="M74" i="7"/>
  <c r="R73" i="7"/>
  <c r="Q73" i="7"/>
  <c r="P73" i="7"/>
  <c r="N73" i="7"/>
  <c r="M73" i="7"/>
  <c r="R72" i="7"/>
  <c r="Q72" i="7"/>
  <c r="P72" i="7"/>
  <c r="N72" i="7"/>
  <c r="M72" i="7"/>
  <c r="R71" i="7"/>
  <c r="Q71" i="7"/>
  <c r="P71" i="7"/>
  <c r="N71" i="7"/>
  <c r="M71" i="7"/>
  <c r="R70" i="7"/>
  <c r="Q70" i="7"/>
  <c r="P70" i="7"/>
  <c r="N70" i="7"/>
  <c r="M70" i="7"/>
  <c r="R69" i="7"/>
  <c r="Q69" i="7"/>
  <c r="P69" i="7"/>
  <c r="N69" i="7"/>
  <c r="M69" i="7"/>
  <c r="R68" i="7"/>
  <c r="Q68" i="7"/>
  <c r="P68" i="7"/>
  <c r="N68" i="7"/>
  <c r="M68" i="7"/>
  <c r="Q67" i="7"/>
  <c r="P67" i="7"/>
  <c r="R67" i="7" s="1"/>
  <c r="N67" i="7"/>
  <c r="M67" i="7"/>
  <c r="Q66" i="7"/>
  <c r="P66" i="7"/>
  <c r="R66" i="7" s="1"/>
  <c r="N66" i="7"/>
  <c r="M66" i="7"/>
  <c r="E66" i="7"/>
  <c r="E68" i="7" s="1"/>
  <c r="R65" i="7"/>
  <c r="Q65" i="7"/>
  <c r="P65" i="7"/>
  <c r="N65" i="7"/>
  <c r="M65" i="7"/>
  <c r="R64" i="7"/>
  <c r="Q64" i="7"/>
  <c r="P64" i="7"/>
  <c r="N64" i="7"/>
  <c r="M64" i="7"/>
  <c r="Q63" i="7"/>
  <c r="P63" i="7"/>
  <c r="R63" i="7" s="1"/>
  <c r="N63" i="7"/>
  <c r="M63" i="7"/>
  <c r="Q62" i="7"/>
  <c r="P62" i="7"/>
  <c r="N62" i="7"/>
  <c r="M62" i="7"/>
  <c r="E62" i="7"/>
  <c r="R61" i="7"/>
  <c r="Q61" i="7"/>
  <c r="P61" i="7"/>
  <c r="N61" i="7"/>
  <c r="M61" i="7"/>
  <c r="E61" i="7"/>
  <c r="R60" i="7"/>
  <c r="Q60" i="7"/>
  <c r="P60" i="7"/>
  <c r="N60" i="7"/>
  <c r="M60" i="7"/>
  <c r="Q59" i="7"/>
  <c r="P59" i="7"/>
  <c r="R59" i="7" s="1"/>
  <c r="N59" i="7"/>
  <c r="M59" i="7"/>
  <c r="Q58" i="7"/>
  <c r="P58" i="7"/>
  <c r="R58" i="7" s="1"/>
  <c r="N58" i="7"/>
  <c r="M58" i="7"/>
  <c r="E58" i="7"/>
  <c r="R57" i="7"/>
  <c r="Q57" i="7"/>
  <c r="P57" i="7"/>
  <c r="N57" i="7"/>
  <c r="M57" i="7"/>
  <c r="D57" i="7"/>
  <c r="C57" i="7"/>
  <c r="B57" i="7"/>
  <c r="Q56" i="7"/>
  <c r="P56" i="7"/>
  <c r="R56" i="7" s="1"/>
  <c r="N56" i="7"/>
  <c r="M56" i="7"/>
  <c r="Q55" i="7"/>
  <c r="P55" i="7"/>
  <c r="R55" i="7" s="1"/>
  <c r="N55" i="7"/>
  <c r="M55" i="7"/>
  <c r="R54" i="7"/>
  <c r="Q54" i="7"/>
  <c r="P54" i="7"/>
  <c r="N54" i="7"/>
  <c r="M54" i="7"/>
  <c r="R53" i="7"/>
  <c r="Q53" i="7"/>
  <c r="P53" i="7"/>
  <c r="N53" i="7"/>
  <c r="M53" i="7"/>
  <c r="R52" i="7"/>
  <c r="Q52" i="7"/>
  <c r="P52" i="7"/>
  <c r="N52" i="7"/>
  <c r="M52" i="7"/>
  <c r="R51" i="7"/>
  <c r="Q51" i="7"/>
  <c r="P51" i="7"/>
  <c r="N51" i="7"/>
  <c r="M51" i="7"/>
  <c r="R50" i="7"/>
  <c r="Q50" i="7"/>
  <c r="P50" i="7"/>
  <c r="N50" i="7"/>
  <c r="M50" i="7"/>
  <c r="R49" i="7"/>
  <c r="Q49" i="7"/>
  <c r="P49" i="7"/>
  <c r="N49" i="7"/>
  <c r="M49" i="7"/>
  <c r="R48" i="7"/>
  <c r="Q48" i="7"/>
  <c r="P48" i="7"/>
  <c r="N48" i="7"/>
  <c r="M48" i="7"/>
  <c r="R47" i="7"/>
  <c r="Q47" i="7"/>
  <c r="P47" i="7"/>
  <c r="N47" i="7"/>
  <c r="M47" i="7"/>
  <c r="R46" i="7"/>
  <c r="Q46" i="7"/>
  <c r="P46" i="7"/>
  <c r="N46" i="7"/>
  <c r="M46" i="7"/>
  <c r="Q45" i="7"/>
  <c r="P45" i="7"/>
  <c r="R45" i="7" s="1"/>
  <c r="N45" i="7"/>
  <c r="M45" i="7"/>
  <c r="B45" i="7"/>
  <c r="Q44" i="7"/>
  <c r="R44" i="7" s="1"/>
  <c r="P44" i="7"/>
  <c r="N44" i="7"/>
  <c r="M44" i="7"/>
  <c r="B44" i="7"/>
  <c r="Q43" i="7"/>
  <c r="R43" i="7" s="1"/>
  <c r="P43" i="7"/>
  <c r="N43" i="7"/>
  <c r="M43" i="7"/>
  <c r="B43" i="7"/>
  <c r="R42" i="7"/>
  <c r="Q42" i="7"/>
  <c r="P42" i="7"/>
  <c r="N42" i="7"/>
  <c r="M42" i="7"/>
  <c r="Q41" i="7"/>
  <c r="P41" i="7"/>
  <c r="R41" i="7" s="1"/>
  <c r="N41" i="7"/>
  <c r="M41" i="7"/>
  <c r="Q40" i="7"/>
  <c r="P40" i="7"/>
  <c r="R40" i="7" s="1"/>
  <c r="N40" i="7"/>
  <c r="M40" i="7"/>
  <c r="B40" i="7"/>
  <c r="J6" i="9" s="1"/>
  <c r="Q39" i="7"/>
  <c r="R39" i="7" s="1"/>
  <c r="P39" i="7"/>
  <c r="N39" i="7"/>
  <c r="M39" i="7"/>
  <c r="B39" i="7"/>
  <c r="R38" i="7"/>
  <c r="Q38" i="7"/>
  <c r="P38" i="7"/>
  <c r="N38" i="7"/>
  <c r="M38" i="7"/>
  <c r="R37" i="7"/>
  <c r="Q37" i="7"/>
  <c r="P37" i="7"/>
  <c r="N37" i="7"/>
  <c r="M37" i="7"/>
  <c r="R36" i="7"/>
  <c r="Q36" i="7"/>
  <c r="P36" i="7"/>
  <c r="N36" i="7"/>
  <c r="M36" i="7"/>
  <c r="R35" i="7"/>
  <c r="Q35" i="7"/>
  <c r="P35" i="7"/>
  <c r="N35" i="7"/>
  <c r="M35" i="7"/>
  <c r="R34" i="7"/>
  <c r="Q34" i="7"/>
  <c r="P34" i="7"/>
  <c r="N34" i="7"/>
  <c r="M34" i="7"/>
  <c r="R33" i="7"/>
  <c r="Q33" i="7"/>
  <c r="P33" i="7"/>
  <c r="N33" i="7"/>
  <c r="M33" i="7"/>
  <c r="R32" i="7"/>
  <c r="Q32" i="7"/>
  <c r="P32" i="7"/>
  <c r="N32" i="7"/>
  <c r="M32" i="7"/>
  <c r="Q31" i="7"/>
  <c r="P31" i="7"/>
  <c r="R31" i="7" s="1"/>
  <c r="N31" i="7"/>
  <c r="M31" i="7"/>
  <c r="Q30" i="7"/>
  <c r="P30" i="7"/>
  <c r="R30" i="7" s="1"/>
  <c r="N30" i="7"/>
  <c r="M30" i="7"/>
  <c r="Q29" i="7"/>
  <c r="R29" i="7" s="1"/>
  <c r="P29" i="7"/>
  <c r="N29" i="7"/>
  <c r="M29" i="7"/>
  <c r="R28" i="7"/>
  <c r="Q28" i="7"/>
  <c r="P28" i="7"/>
  <c r="N28" i="7"/>
  <c r="M28" i="7"/>
  <c r="B28" i="7"/>
  <c r="Q27" i="7"/>
  <c r="P27" i="7"/>
  <c r="R27" i="7" s="1"/>
  <c r="N27" i="7"/>
  <c r="M27" i="7"/>
  <c r="Q26" i="7"/>
  <c r="P26" i="7"/>
  <c r="R26" i="7" s="1"/>
  <c r="N26" i="7"/>
  <c r="M26" i="7"/>
  <c r="Q25" i="7"/>
  <c r="R25" i="7" s="1"/>
  <c r="P25" i="7"/>
  <c r="N25" i="7"/>
  <c r="M25" i="7"/>
  <c r="R24" i="7"/>
  <c r="Q24" i="7"/>
  <c r="P24" i="7"/>
  <c r="N24" i="7"/>
  <c r="M24" i="7"/>
  <c r="Q23" i="7"/>
  <c r="P23" i="7"/>
  <c r="R23" i="7" s="1"/>
  <c r="N23" i="7"/>
  <c r="M23" i="7"/>
  <c r="Q22" i="7"/>
  <c r="P22" i="7"/>
  <c r="R22" i="7" s="1"/>
  <c r="N22" i="7"/>
  <c r="M22" i="7"/>
  <c r="Q21" i="7"/>
  <c r="P21" i="7"/>
  <c r="R21" i="7" s="1"/>
  <c r="N21" i="7"/>
  <c r="M21" i="7"/>
  <c r="Q20" i="7"/>
  <c r="P20" i="7"/>
  <c r="R20" i="7" s="1"/>
  <c r="N20" i="7"/>
  <c r="M20" i="7"/>
  <c r="Q19" i="7"/>
  <c r="P19" i="7"/>
  <c r="R19" i="7" s="1"/>
  <c r="N19" i="7"/>
  <c r="M19" i="7"/>
  <c r="Q18" i="7"/>
  <c r="P18" i="7"/>
  <c r="R18" i="7" s="1"/>
  <c r="N18" i="7"/>
  <c r="M18" i="7"/>
  <c r="Q17" i="7"/>
  <c r="P17" i="7"/>
  <c r="R17" i="7" s="1"/>
  <c r="N17" i="7"/>
  <c r="M17" i="7"/>
  <c r="Q16" i="7"/>
  <c r="P16" i="7"/>
  <c r="R16" i="7" s="1"/>
  <c r="N16" i="7"/>
  <c r="M16" i="7"/>
  <c r="Q15" i="7"/>
  <c r="P15" i="7"/>
  <c r="R15" i="7" s="1"/>
  <c r="N15" i="7"/>
  <c r="M15" i="7"/>
  <c r="Q14" i="7"/>
  <c r="R14" i="7" s="1"/>
  <c r="P14" i="7"/>
  <c r="N14" i="7"/>
  <c r="M14" i="7"/>
  <c r="R13" i="7"/>
  <c r="Q13" i="7"/>
  <c r="P13" i="7"/>
  <c r="N13" i="7"/>
  <c r="M13" i="7"/>
  <c r="Q12" i="7"/>
  <c r="P12" i="7"/>
  <c r="R12" i="7" s="1"/>
  <c r="N12" i="7"/>
  <c r="M12" i="7"/>
  <c r="Q11" i="7"/>
  <c r="P11" i="7"/>
  <c r="R11" i="7" s="1"/>
  <c r="N11" i="7"/>
  <c r="M11" i="7"/>
  <c r="C11" i="7"/>
  <c r="B11" i="7"/>
  <c r="D12" i="7" s="1"/>
  <c r="R10" i="7"/>
  <c r="Q10" i="7"/>
  <c r="P10" i="7"/>
  <c r="N10" i="7"/>
  <c r="M10" i="7"/>
  <c r="Q9" i="7"/>
  <c r="B26" i="7" s="1"/>
  <c r="P9" i="7"/>
  <c r="R9" i="7" s="1"/>
  <c r="N9" i="7"/>
  <c r="M9" i="7"/>
  <c r="R8" i="7"/>
  <c r="Q8" i="7"/>
  <c r="P8" i="7"/>
  <c r="N8" i="7"/>
  <c r="M8" i="7"/>
  <c r="R7" i="7"/>
  <c r="Q7" i="7"/>
  <c r="P7" i="7"/>
  <c r="N7" i="7"/>
  <c r="M7" i="7"/>
  <c r="R6" i="7"/>
  <c r="Q6" i="7"/>
  <c r="P6" i="7"/>
  <c r="N6" i="7"/>
  <c r="M6" i="7"/>
  <c r="R5" i="7"/>
  <c r="Q5" i="7"/>
  <c r="P5" i="7"/>
  <c r="N5" i="7"/>
  <c r="M5" i="7"/>
  <c r="R4" i="7"/>
  <c r="Q4" i="7"/>
  <c r="P4" i="7"/>
  <c r="N4" i="7"/>
  <c r="M4" i="7"/>
  <c r="R3" i="7"/>
  <c r="Q3" i="7"/>
  <c r="P3" i="7"/>
  <c r="N3" i="7"/>
  <c r="M3" i="7"/>
  <c r="R2" i="7"/>
  <c r="Q2" i="7"/>
  <c r="P2" i="7"/>
  <c r="N2" i="7"/>
  <c r="C10" i="7" s="1"/>
  <c r="G6" i="9" s="1"/>
  <c r="M2" i="7"/>
  <c r="B10" i="7" s="1"/>
  <c r="I15" i="6"/>
  <c r="I14" i="6"/>
  <c r="F11" i="6"/>
  <c r="E11" i="6"/>
  <c r="D11" i="6"/>
  <c r="C11" i="6"/>
  <c r="B11" i="6"/>
  <c r="A6" i="9" s="1"/>
  <c r="J10" i="6"/>
  <c r="I10" i="6"/>
  <c r="K10" i="6" s="1"/>
  <c r="F10" i="6"/>
  <c r="E10" i="6"/>
  <c r="D10" i="6"/>
  <c r="C10" i="6"/>
  <c r="B10" i="6"/>
  <c r="J9" i="6"/>
  <c r="I9" i="6"/>
  <c r="K9" i="6" s="1"/>
  <c r="F9" i="6"/>
  <c r="E9" i="6"/>
  <c r="D9" i="6"/>
  <c r="C9" i="6"/>
  <c r="B9" i="6"/>
  <c r="J8" i="6"/>
  <c r="I8" i="6"/>
  <c r="K8" i="6" s="1"/>
  <c r="F8" i="6"/>
  <c r="E8" i="6"/>
  <c r="D8" i="6"/>
  <c r="C8" i="6"/>
  <c r="B8" i="6"/>
  <c r="J7" i="6"/>
  <c r="I7" i="6"/>
  <c r="K7" i="6" s="1"/>
  <c r="F7" i="6"/>
  <c r="E7" i="6"/>
  <c r="D7" i="6"/>
  <c r="C7" i="6"/>
  <c r="B7" i="6"/>
  <c r="J6" i="6"/>
  <c r="I6" i="6"/>
  <c r="K6" i="6" s="1"/>
  <c r="F6" i="6"/>
  <c r="E6" i="6"/>
  <c r="D6" i="6"/>
  <c r="C6" i="6"/>
  <c r="B6" i="6"/>
  <c r="J5" i="6"/>
  <c r="I5" i="6"/>
  <c r="K5" i="6" s="1"/>
  <c r="F5" i="6"/>
  <c r="E5" i="6"/>
  <c r="D5" i="6"/>
  <c r="C5" i="6"/>
  <c r="B5" i="6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B9" i="5"/>
  <c r="B8" i="5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T64" i="7" s="1"/>
  <c r="K63" i="4"/>
  <c r="K62" i="4"/>
  <c r="K61" i="4"/>
  <c r="K60" i="4"/>
  <c r="T60" i="7" s="1"/>
  <c r="K59" i="4"/>
  <c r="K58" i="4"/>
  <c r="K57" i="4"/>
  <c r="K56" i="4"/>
  <c r="T56" i="7" s="1"/>
  <c r="K55" i="4"/>
  <c r="V55" i="7" s="1"/>
  <c r="K54" i="4"/>
  <c r="K53" i="4"/>
  <c r="K52" i="4"/>
  <c r="T52" i="7" s="1"/>
  <c r="K51" i="4"/>
  <c r="K50" i="4"/>
  <c r="K49" i="4"/>
  <c r="K48" i="4"/>
  <c r="T48" i="7" s="1"/>
  <c r="K47" i="4"/>
  <c r="K46" i="4"/>
  <c r="K45" i="4"/>
  <c r="V45" i="7" s="1"/>
  <c r="K44" i="4"/>
  <c r="T44" i="7" s="1"/>
  <c r="K43" i="4"/>
  <c r="U43" i="7" s="1"/>
  <c r="K42" i="4"/>
  <c r="V42" i="7" s="1"/>
  <c r="K41" i="4"/>
  <c r="V41" i="7" s="1"/>
  <c r="K40" i="4"/>
  <c r="T40" i="7" s="1"/>
  <c r="K39" i="4"/>
  <c r="U39" i="7" s="1"/>
  <c r="K38" i="4"/>
  <c r="V38" i="7" s="1"/>
  <c r="K37" i="4"/>
  <c r="V37" i="7" s="1"/>
  <c r="K36" i="4"/>
  <c r="V36" i="7" s="1"/>
  <c r="K35" i="4"/>
  <c r="V35" i="7" s="1"/>
  <c r="K34" i="4"/>
  <c r="V34" i="7" s="1"/>
  <c r="K33" i="4"/>
  <c r="V33" i="7" s="1"/>
  <c r="K32" i="4"/>
  <c r="V32" i="7" s="1"/>
  <c r="K31" i="4"/>
  <c r="V31" i="7" s="1"/>
  <c r="K30" i="4"/>
  <c r="T30" i="7" s="1"/>
  <c r="K29" i="4"/>
  <c r="U29" i="7" s="1"/>
  <c r="K28" i="4"/>
  <c r="V28" i="7" s="1"/>
  <c r="K27" i="4"/>
  <c r="V27" i="7" s="1"/>
  <c r="K26" i="4"/>
  <c r="T26" i="7" s="1"/>
  <c r="K25" i="4"/>
  <c r="U25" i="7" s="1"/>
  <c r="K24" i="4"/>
  <c r="V24" i="7" s="1"/>
  <c r="K23" i="4"/>
  <c r="V23" i="7" s="1"/>
  <c r="K22" i="4"/>
  <c r="V22" i="7" s="1"/>
  <c r="K21" i="4"/>
  <c r="V21" i="7" s="1"/>
  <c r="K20" i="4"/>
  <c r="V20" i="7" s="1"/>
  <c r="K19" i="4"/>
  <c r="V19" i="7" s="1"/>
  <c r="K18" i="4"/>
  <c r="V18" i="7" s="1"/>
  <c r="K17" i="4"/>
  <c r="V17" i="7" s="1"/>
  <c r="K16" i="4"/>
  <c r="V16" i="7" s="1"/>
  <c r="K15" i="4"/>
  <c r="T15" i="7" s="1"/>
  <c r="K14" i="4"/>
  <c r="U14" i="7" s="1"/>
  <c r="K13" i="4"/>
  <c r="V13" i="7" s="1"/>
  <c r="K12" i="4"/>
  <c r="V12" i="7" s="1"/>
  <c r="K11" i="4"/>
  <c r="T11" i="7" s="1"/>
  <c r="K10" i="4"/>
  <c r="V10" i="7" s="1"/>
  <c r="K9" i="4"/>
  <c r="T9" i="7" s="1"/>
  <c r="K8" i="4"/>
  <c r="V8" i="7" s="1"/>
  <c r="K7" i="4"/>
  <c r="V7" i="7" s="1"/>
  <c r="K6" i="4"/>
  <c r="V6" i="7" s="1"/>
  <c r="K5" i="4"/>
  <c r="V5" i="7" s="1"/>
  <c r="K4" i="4"/>
  <c r="V4" i="7" s="1"/>
  <c r="K3" i="4"/>
  <c r="V3" i="7" s="1"/>
  <c r="K2" i="4"/>
  <c r="V2" i="7" s="1"/>
  <c r="D6" i="9" l="1"/>
  <c r="V46" i="7"/>
  <c r="U46" i="7"/>
  <c r="V50" i="7"/>
  <c r="U50" i="7"/>
  <c r="V54" i="7"/>
  <c r="U54" i="7"/>
  <c r="U58" i="7"/>
  <c r="T58" i="7"/>
  <c r="U62" i="7"/>
  <c r="T62" i="7"/>
  <c r="U66" i="7"/>
  <c r="T66" i="7"/>
  <c r="V66" i="7"/>
  <c r="V70" i="7"/>
  <c r="U70" i="7"/>
  <c r="T70" i="7"/>
  <c r="V74" i="7"/>
  <c r="U74" i="7"/>
  <c r="T74" i="7"/>
  <c r="V78" i="7"/>
  <c r="U78" i="7"/>
  <c r="T78" i="7"/>
  <c r="V82" i="7"/>
  <c r="U82" i="7"/>
  <c r="T82" i="7"/>
  <c r="V86" i="7"/>
  <c r="U86" i="7"/>
  <c r="T86" i="7"/>
  <c r="V90" i="7"/>
  <c r="U90" i="7"/>
  <c r="T90" i="7"/>
  <c r="V94" i="7"/>
  <c r="U94" i="7"/>
  <c r="T94" i="7"/>
  <c r="V98" i="7"/>
  <c r="U98" i="7"/>
  <c r="T98" i="7"/>
  <c r="V102" i="7"/>
  <c r="U102" i="7"/>
  <c r="T102" i="7"/>
  <c r="V106" i="7"/>
  <c r="U106" i="7"/>
  <c r="T106" i="7"/>
  <c r="V110" i="7"/>
  <c r="U110" i="7"/>
  <c r="T110" i="7"/>
  <c r="V114" i="7"/>
  <c r="U114" i="7"/>
  <c r="T114" i="7"/>
  <c r="V118" i="7"/>
  <c r="U118" i="7"/>
  <c r="T118" i="7"/>
  <c r="V47" i="7"/>
  <c r="U47" i="7"/>
  <c r="V51" i="7"/>
  <c r="U51" i="7"/>
  <c r="T59" i="7"/>
  <c r="V59" i="7"/>
  <c r="T63" i="7"/>
  <c r="V63" i="7"/>
  <c r="T67" i="7"/>
  <c r="V67" i="7"/>
  <c r="U67" i="7"/>
  <c r="V71" i="7"/>
  <c r="U71" i="7"/>
  <c r="T71" i="7"/>
  <c r="V75" i="7"/>
  <c r="U75" i="7"/>
  <c r="T75" i="7"/>
  <c r="V79" i="7"/>
  <c r="U79" i="7"/>
  <c r="T79" i="7"/>
  <c r="V83" i="7"/>
  <c r="U83" i="7"/>
  <c r="T83" i="7"/>
  <c r="V87" i="7"/>
  <c r="U87" i="7"/>
  <c r="T87" i="7"/>
  <c r="V91" i="7"/>
  <c r="U91" i="7"/>
  <c r="T91" i="7"/>
  <c r="V95" i="7"/>
  <c r="U95" i="7"/>
  <c r="T95" i="7"/>
  <c r="V99" i="7"/>
  <c r="U99" i="7"/>
  <c r="T99" i="7"/>
  <c r="V103" i="7"/>
  <c r="U103" i="7"/>
  <c r="T103" i="7"/>
  <c r="V107" i="7"/>
  <c r="U107" i="7"/>
  <c r="T107" i="7"/>
  <c r="V111" i="7"/>
  <c r="U111" i="7"/>
  <c r="T111" i="7"/>
  <c r="V115" i="7"/>
  <c r="U115" i="7"/>
  <c r="T115" i="7"/>
  <c r="V119" i="7"/>
  <c r="U119" i="7"/>
  <c r="T119" i="7"/>
  <c r="L14" i="6"/>
  <c r="B9" i="7"/>
  <c r="D15" i="7" s="1"/>
  <c r="U9" i="7"/>
  <c r="U11" i="7"/>
  <c r="T12" i="7"/>
  <c r="V14" i="7"/>
  <c r="U15" i="7"/>
  <c r="T16" i="7"/>
  <c r="T17" i="7"/>
  <c r="T18" i="7"/>
  <c r="T19" i="7"/>
  <c r="T20" i="7"/>
  <c r="T21" i="7"/>
  <c r="T22" i="7"/>
  <c r="T23" i="7"/>
  <c r="B25" i="7"/>
  <c r="V25" i="7"/>
  <c r="U26" i="7"/>
  <c r="T27" i="7"/>
  <c r="V29" i="7"/>
  <c r="U30" i="7"/>
  <c r="T31" i="7"/>
  <c r="V39" i="7"/>
  <c r="U40" i="7"/>
  <c r="T41" i="7"/>
  <c r="T46" i="7"/>
  <c r="T50" i="7"/>
  <c r="T54" i="7"/>
  <c r="U55" i="7"/>
  <c r="V56" i="7"/>
  <c r="T2" i="7"/>
  <c r="T3" i="7"/>
  <c r="T4" i="7"/>
  <c r="T5" i="7"/>
  <c r="T6" i="7"/>
  <c r="T7" i="7"/>
  <c r="T8" i="7"/>
  <c r="C9" i="7"/>
  <c r="V9" i="7"/>
  <c r="D55" i="7" s="1"/>
  <c r="T10" i="7"/>
  <c r="V11" i="7"/>
  <c r="U12" i="7"/>
  <c r="T13" i="7"/>
  <c r="V15" i="7"/>
  <c r="U16" i="7"/>
  <c r="U17" i="7"/>
  <c r="U18" i="7"/>
  <c r="U19" i="7"/>
  <c r="U20" i="7"/>
  <c r="U21" i="7"/>
  <c r="U22" i="7"/>
  <c r="U23" i="7"/>
  <c r="T24" i="7"/>
  <c r="V26" i="7"/>
  <c r="U27" i="7"/>
  <c r="T28" i="7"/>
  <c r="V30" i="7"/>
  <c r="U31" i="7"/>
  <c r="T32" i="7"/>
  <c r="T33" i="7"/>
  <c r="T34" i="7"/>
  <c r="T35" i="7"/>
  <c r="T36" i="7"/>
  <c r="T37" i="7"/>
  <c r="T38" i="7"/>
  <c r="V40" i="7"/>
  <c r="U41" i="7"/>
  <c r="T42" i="7"/>
  <c r="T45" i="7"/>
  <c r="V62" i="7"/>
  <c r="V48" i="7"/>
  <c r="U48" i="7"/>
  <c r="V52" i="7"/>
  <c r="U52" i="7"/>
  <c r="V60" i="7"/>
  <c r="U60" i="7"/>
  <c r="V64" i="7"/>
  <c r="U64" i="7"/>
  <c r="V68" i="7"/>
  <c r="U68" i="7"/>
  <c r="T68" i="7"/>
  <c r="V72" i="7"/>
  <c r="U72" i="7"/>
  <c r="T72" i="7"/>
  <c r="V76" i="7"/>
  <c r="U76" i="7"/>
  <c r="T76" i="7"/>
  <c r="V80" i="7"/>
  <c r="U80" i="7"/>
  <c r="T80" i="7"/>
  <c r="V84" i="7"/>
  <c r="U84" i="7"/>
  <c r="T84" i="7"/>
  <c r="V88" i="7"/>
  <c r="U88" i="7"/>
  <c r="T88" i="7"/>
  <c r="V92" i="7"/>
  <c r="U92" i="7"/>
  <c r="T92" i="7"/>
  <c r="V96" i="7"/>
  <c r="U96" i="7"/>
  <c r="T96" i="7"/>
  <c r="V100" i="7"/>
  <c r="U100" i="7"/>
  <c r="T100" i="7"/>
  <c r="V104" i="7"/>
  <c r="U104" i="7"/>
  <c r="T104" i="7"/>
  <c r="V108" i="7"/>
  <c r="U108" i="7"/>
  <c r="T108" i="7"/>
  <c r="V112" i="7"/>
  <c r="U112" i="7"/>
  <c r="T112" i="7"/>
  <c r="V116" i="7"/>
  <c r="U116" i="7"/>
  <c r="T116" i="7"/>
  <c r="V120" i="7"/>
  <c r="U120" i="7"/>
  <c r="T120" i="7"/>
  <c r="V49" i="7"/>
  <c r="U49" i="7"/>
  <c r="V53" i="7"/>
  <c r="U53" i="7"/>
  <c r="V57" i="7"/>
  <c r="U57" i="7"/>
  <c r="T57" i="7"/>
  <c r="V61" i="7"/>
  <c r="U61" i="7"/>
  <c r="T61" i="7"/>
  <c r="V65" i="7"/>
  <c r="U65" i="7"/>
  <c r="T65" i="7"/>
  <c r="V69" i="7"/>
  <c r="U69" i="7"/>
  <c r="T69" i="7"/>
  <c r="V73" i="7"/>
  <c r="U73" i="7"/>
  <c r="T73" i="7"/>
  <c r="V77" i="7"/>
  <c r="U77" i="7"/>
  <c r="T77" i="7"/>
  <c r="V81" i="7"/>
  <c r="U81" i="7"/>
  <c r="T81" i="7"/>
  <c r="V85" i="7"/>
  <c r="U85" i="7"/>
  <c r="T85" i="7"/>
  <c r="V89" i="7"/>
  <c r="U89" i="7"/>
  <c r="T89" i="7"/>
  <c r="V93" i="7"/>
  <c r="U93" i="7"/>
  <c r="T93" i="7"/>
  <c r="V97" i="7"/>
  <c r="U97" i="7"/>
  <c r="T97" i="7"/>
  <c r="V101" i="7"/>
  <c r="U101" i="7"/>
  <c r="T101" i="7"/>
  <c r="V105" i="7"/>
  <c r="U105" i="7"/>
  <c r="T105" i="7"/>
  <c r="V109" i="7"/>
  <c r="U109" i="7"/>
  <c r="T109" i="7"/>
  <c r="V113" i="7"/>
  <c r="U113" i="7"/>
  <c r="T113" i="7"/>
  <c r="V117" i="7"/>
  <c r="U117" i="7"/>
  <c r="T117" i="7"/>
  <c r="V121" i="7"/>
  <c r="U121" i="7"/>
  <c r="T121" i="7"/>
  <c r="L15" i="6"/>
  <c r="U2" i="7"/>
  <c r="U3" i="7"/>
  <c r="U4" i="7"/>
  <c r="U5" i="7"/>
  <c r="U6" i="7"/>
  <c r="U7" i="7"/>
  <c r="U8" i="7"/>
  <c r="U10" i="7"/>
  <c r="U13" i="7"/>
  <c r="T14" i="7"/>
  <c r="U24" i="7"/>
  <c r="T25" i="7"/>
  <c r="U28" i="7"/>
  <c r="T29" i="7"/>
  <c r="U32" i="7"/>
  <c r="U33" i="7"/>
  <c r="U34" i="7"/>
  <c r="U35" i="7"/>
  <c r="U36" i="7"/>
  <c r="U37" i="7"/>
  <c r="U38" i="7"/>
  <c r="T39" i="7"/>
  <c r="B41" i="7"/>
  <c r="B42" i="7" s="1"/>
  <c r="B46" i="7" s="1"/>
  <c r="U42" i="7"/>
  <c r="T43" i="7"/>
  <c r="U44" i="7"/>
  <c r="U45" i="7"/>
  <c r="T47" i="7"/>
  <c r="T49" i="7"/>
  <c r="T51" i="7"/>
  <c r="T53" i="7"/>
  <c r="V58" i="7"/>
  <c r="U63" i="7"/>
  <c r="L16" i="6"/>
  <c r="V43" i="7"/>
  <c r="V44" i="7"/>
  <c r="T55" i="7"/>
  <c r="U56" i="7"/>
  <c r="U59" i="7"/>
  <c r="R62" i="7"/>
  <c r="B24" i="7" s="1"/>
  <c r="B30" i="7" s="1"/>
  <c r="B56" i="7" l="1"/>
  <c r="B55" i="7"/>
  <c r="D13" i="7"/>
  <c r="D14" i="7" s="1"/>
  <c r="B27" i="7"/>
  <c r="B29" i="7" s="1"/>
  <c r="B31" i="7" s="1"/>
  <c r="B32" i="7" s="1"/>
  <c r="C55" i="7"/>
  <c r="C56" i="7"/>
  <c r="D56" i="7"/>
  <c r="A9" i="9" l="1"/>
  <c r="D16" i="7"/>
  <c r="E60" i="7"/>
  <c r="E64" i="7" s="1"/>
  <c r="E59" i="7"/>
  <c r="E67" i="7" l="1"/>
  <c r="E63" i="7"/>
  <c r="E65" i="7" s="1"/>
</calcChain>
</file>

<file path=xl/sharedStrings.xml><?xml version="1.0" encoding="utf-8"?>
<sst xmlns="http://schemas.openxmlformats.org/spreadsheetml/2006/main" count="750" uniqueCount="378">
  <si>
    <t>Statistical Analysis Sample Workbook</t>
  </si>
  <si>
    <t>Sample study: mentoring, study habits, and academic performance</t>
  </si>
  <si>
    <t>Prepared as an Excel-based sample deliverable for RE4U Research Edit4u Solutions</t>
  </si>
  <si>
    <t>Research objective</t>
  </si>
  <si>
    <t>Determine whether a structured mentoring program improves final exam performance and identify the behavioural factors linked to scores.</t>
  </si>
  <si>
    <t>Dataset</t>
  </si>
  <si>
    <t>120 anonymized student records with variables that directly match the objective: group, study hours, attendance, sleep, pre-test, post-test, and final exam score.</t>
  </si>
  <si>
    <t>Tests included</t>
  </si>
  <si>
    <t>Descriptive statistics, independent t-test, paired t-test, Pearson correlation, simple linear regression, and one-way ANOVA.</t>
  </si>
  <si>
    <t>Outputs</t>
  </si>
  <si>
    <t>Raw data, dictionary, data quality screen, formula-driven analysis tables, dashboard charts, and detailed interpretation notes.</t>
  </si>
  <si>
    <t>Workbook flow: Cover → Read Me → Data Dictionary → Raw Data → Data Quality → Descriptive Stats → Test Results → Interpretation Notes → Dashboard</t>
  </si>
  <si>
    <t>Use this sample as a template and replace the objective, variables, and narrative with the client’s actual study scope.</t>
  </si>
  <si>
    <t>Research design and why each test is used</t>
  </si>
  <si>
    <t>Primary objective: determine whether students in the mentoring program perform better than the control group, and quantify whether study hours and attendance are associated with better final exam outcomes.</t>
  </si>
  <si>
    <t>Test used</t>
  </si>
  <si>
    <t>Purpose of the test</t>
  </si>
  <si>
    <t>Variables involved</t>
  </si>
  <si>
    <t>Why this test fits</t>
  </si>
  <si>
    <t>Decision rule / what to read</t>
  </si>
  <si>
    <t>Summarize the sample before testing hypotheses.</t>
  </si>
  <si>
    <t>Descriptive statistics</t>
  </si>
  <si>
    <t>Provides means, standard deviations, ranges, and sample counts.</t>
  </si>
  <si>
    <t>Age, study hours, attendance, sleep, pre-test, post-test, final score, group, gender.</t>
  </si>
  <si>
    <t>This is the first step in any analysis because it shows whether the data look reasonable and comparable.</t>
  </si>
  <si>
    <t>Review mean, SD, min, max, and group counts.</t>
  </si>
  <si>
    <t>Compare final exam scores between mentored and control students.</t>
  </si>
  <si>
    <t>Independent samples t-test (Welch)</t>
  </si>
  <si>
    <t>Tests whether two unrelated groups have different mean scores.</t>
  </si>
  <si>
    <t>Program_Group and Final_Exam_Score.</t>
  </si>
  <si>
    <t>The groups are made up of different students, so an independent test is required.</t>
  </si>
  <si>
    <t>If p &lt; 0.05, conclude the group means differ significantly.</t>
  </si>
  <si>
    <t>Check whether mentored students improved over time.</t>
  </si>
  <si>
    <t>Paired samples t-test</t>
  </si>
  <si>
    <t>Tests whether the average within-student change is different from zero.</t>
  </si>
  <si>
    <t>Pre_Test_Score and Post_Test_Score for mentored students only.</t>
  </si>
  <si>
    <t>The same students are observed twice, so the paired design is appropriate.</t>
  </si>
  <si>
    <t>If p &lt; 0.05, conclude the average improvement is statistically significant.</t>
  </si>
  <si>
    <t>Measure the linear relationship between study hours and final score.</t>
  </si>
  <si>
    <t>Pearson correlation + regression</t>
  </si>
  <si>
    <t>Correlation measures strength/direction; regression estimates the score change per extra study hour.</t>
  </si>
  <si>
    <t>Study_Hours_per_Week and Final_Exam_Score.</t>
  </si>
  <si>
    <t>Both variables are numeric and the question is about association and prediction.</t>
  </si>
  <si>
    <t>Read r, slope, intercept, R², and p-value.</t>
  </si>
  <si>
    <t>Compare scores across low, medium, and high attendance categories.</t>
  </si>
  <si>
    <t>One-way ANOVA</t>
  </si>
  <si>
    <t>Tests whether three or more independent groups have the same mean score.</t>
  </si>
  <si>
    <t>Attendance_Category and Final_Exam_Score.</t>
  </si>
  <si>
    <t>Attendance is grouped into three levels, so ANOVA avoids multiple pairwise t-tests.</t>
  </si>
  <si>
    <t>If p &lt; 0.05, at least one attendance-group mean differs from the others.</t>
  </si>
  <si>
    <t>Significance level used in this sample: alpha = 0.05. Interpretation should combine p-values with effect size and real-world meaning.</t>
  </si>
  <si>
    <t>Data dictionary</t>
  </si>
  <si>
    <t>Variable</t>
  </si>
  <si>
    <t>Meaning</t>
  </si>
  <si>
    <t>Type</t>
  </si>
  <si>
    <t>Scale</t>
  </si>
  <si>
    <t>Role in analysis</t>
  </si>
  <si>
    <t>Expected range / levels</t>
  </si>
  <si>
    <t>Why it is included</t>
  </si>
  <si>
    <t>Student_ID</t>
  </si>
  <si>
    <t>Unique row identifier</t>
  </si>
  <si>
    <t>Text</t>
  </si>
  <si>
    <t>Nominal</t>
  </si>
  <si>
    <t>Record key</t>
  </si>
  <si>
    <t>S001 to S120</t>
  </si>
  <si>
    <t>Keeps each observation unique.</t>
  </si>
  <si>
    <t>Program_Group</t>
  </si>
  <si>
    <t>Mentoring status</t>
  </si>
  <si>
    <t>Main grouping variable</t>
  </si>
  <si>
    <t>Mentored / Control</t>
  </si>
  <si>
    <t>Used to test program impact.</t>
  </si>
  <si>
    <t>Gender</t>
  </si>
  <si>
    <t>Student gender</t>
  </si>
  <si>
    <t>Descriptive subgroup</t>
  </si>
  <si>
    <t>Female / Male</t>
  </si>
  <si>
    <t>Profiles sample composition.</t>
  </si>
  <si>
    <t>Age_Years</t>
  </si>
  <si>
    <t>Age in years</t>
  </si>
  <si>
    <t>Numeric</t>
  </si>
  <si>
    <t>Descriptive covariate</t>
  </si>
  <si>
    <t>18 to 26</t>
  </si>
  <si>
    <t>Checks that the sample matches the target student age range.</t>
  </si>
  <si>
    <t>Study_Hours_per_Week</t>
  </si>
  <si>
    <t>Average weekly study hours</t>
  </si>
  <si>
    <t>Predictor</t>
  </si>
  <si>
    <t>2.0 to 14.5 hours</t>
  </si>
  <si>
    <t>Tests whether greater study time is associated with higher scores.</t>
  </si>
  <si>
    <t>Attendance_Pct</t>
  </si>
  <si>
    <t>Semester attendance percentage</t>
  </si>
  <si>
    <t>Predictor / grouping source</t>
  </si>
  <si>
    <t>60.0 to 99.0%</t>
  </si>
  <si>
    <t>Measures consistency of class participation.</t>
  </si>
  <si>
    <t>Sleep_Hours_per_Night</t>
  </si>
  <si>
    <t>Average sleep hours per night</t>
  </si>
  <si>
    <t>5.0 to 9.0 hours</t>
  </si>
  <si>
    <t>Adds context on student routine and wellbeing.</t>
  </si>
  <si>
    <t>Pre_Test_Score</t>
  </si>
  <si>
    <t>Baseline score before intervention</t>
  </si>
  <si>
    <t>Paired baseline outcome</t>
  </si>
  <si>
    <t>40.0 to 82.0</t>
  </si>
  <si>
    <t>Needed for before-vs-after improvement analysis.</t>
  </si>
  <si>
    <t>Post_Test_Score</t>
  </si>
  <si>
    <t>Follow-up score after program period</t>
  </si>
  <si>
    <t>Paired follow-up outcome</t>
  </si>
  <si>
    <t>45.0 to 98.0</t>
  </si>
  <si>
    <t>Paired with pre-test to assess improvement.</t>
  </si>
  <si>
    <t>Final_Exam_Score</t>
  </si>
  <si>
    <t>End-semester exam score</t>
  </si>
  <si>
    <t>Primary outcome</t>
  </si>
  <si>
    <t>45.0 to 99.0</t>
  </si>
  <si>
    <t>Main performance outcome for impact and prediction analysis.</t>
  </si>
  <si>
    <t>Attendance_Category</t>
  </si>
  <si>
    <t>Attendance band derived from Attendance_Pct</t>
  </si>
  <si>
    <t>Ordinal</t>
  </si>
  <si>
    <t>ANOVA group</t>
  </si>
  <si>
    <t>Low &lt;75, Medium 75-89.9, High ≥90</t>
  </si>
  <si>
    <t>Required to compare three attendance groups.</t>
  </si>
  <si>
    <t>S001</t>
  </si>
  <si>
    <t>Mentored</t>
  </si>
  <si>
    <t>Male</t>
  </si>
  <si>
    <t>S002</t>
  </si>
  <si>
    <t>S003</t>
  </si>
  <si>
    <t>Female</t>
  </si>
  <si>
    <t>S004</t>
  </si>
  <si>
    <t>Control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</si>
  <si>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</si>
  <si>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</si>
  <si>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</si>
  <si>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</si>
  <si>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</si>
  <si>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</si>
  <si>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</si>
  <si>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</si>
  <si>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</si>
  <si>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</si>
  <si>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</si>
  <si>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</si>
  <si>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</si>
  <si>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</si>
  <si>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</si>
  <si>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</si>
  <si>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</si>
  <si>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</si>
  <si>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</si>
  <si>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</si>
  <si>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</si>
  <si>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</si>
  <si>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</si>
  <si>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</si>
  <si>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</si>
  <si>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</si>
  <si>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</si>
  <si>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</si>
  <si>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</si>
  <si>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</si>
  <si>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</si>
  <si>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</si>
  <si>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</si>
  <si>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</si>
  <si>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</si>
  <si>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</si>
  <si>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</si>
  <si>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</si>
  <si>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</si>
  <si>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</si>
  <si>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</si>
  <si>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</si>
  <si>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</si>
  <si>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</si>
  <si>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</si>
  <si>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</si>
  <si>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</si>
  <si>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</si>
  <si>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</si>
  <si>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</si>
  <si>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</si>
  <si>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</si>
  <si>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</si>
  <si>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</si>
  <si>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</si>
  <si>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</si>
  <si>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</si>
  <si>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</si>
  <si>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</si>
  <si>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</si>
  <si>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</si>
  <si>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</si>
  <si>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</si>
  <si>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</si>
  <si>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</si>
  <si>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</si>
  <si>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</si>
  <si>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</si>
  <si>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</si>
  <si>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</si>
  <si>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</si>
  <si>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</si>
  <si>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</si>
  <si>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</si>
  <si>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</si>
  <si>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</si>
  <si>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</si>
  <si>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</si>
  <si>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</si>
  <si>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</si>
  <si>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</si>
  <si>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</si>
  <si>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</si>
  <si>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</si>
  <si>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</si>
  <si>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</si>
  <si>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</si>
  <si>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</si>
  <si>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</si>
  <si>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</si>
  <si>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</si>
  <si>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</si>
  <si>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</si>
  <si>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</si>
  <si>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</si>
  <si>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</si>
  <si>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</si>
  <si>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</si>
  <si>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</si>
  <si>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</si>
  <si>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</si>
  <si>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</si>
  <si>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</si>
  <si>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</si>
  <si>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</si>
  <si>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</si>
  <si>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</si>
  <si>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</si>
  <si>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</si>
  <si>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</si>
  <si>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</si>
  <si>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</si>
  <si>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</si>
  <si>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</si>
  <si>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</si>
  <si>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</si>
  <si>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Data quality and assumption screen</t>
  </si>
  <si>
    <t>Basic checks to complete before analysis: missing values, impossible ranges, and obvious data-entry issues.</t>
  </si>
  <si>
    <t>Missing values</t>
  </si>
  <si>
    <t>Below allowed min</t>
  </si>
  <si>
    <t>Above allowed max</t>
  </si>
  <si>
    <t>Allowed rule</t>
  </si>
  <si>
    <t>Interpretation</t>
  </si>
  <si>
    <t/>
  </si>
  <si>
    <t>No blanks</t>
  </si>
  <si>
    <t>Every record must have an ID.</t>
  </si>
  <si>
    <t>Each row needs a group assignment.</t>
  </si>
  <si>
    <t>18 to 30</t>
  </si>
  <si>
    <t>Out-of-range ages should be reviewed.</t>
  </si>
  <si>
    <t>0 to 20</t>
  </si>
  <si>
    <t>Negative or extreme study hours suggest entry problems.</t>
  </si>
  <si>
    <t>0 to 100%</t>
  </si>
  <si>
    <t>Percentages must remain bounded.</t>
  </si>
  <si>
    <t>0 to 24</t>
  </si>
  <si>
    <t>Implausible daily values should be checked.</t>
  </si>
  <si>
    <t>0 to 100</t>
  </si>
  <si>
    <t>Scores must remain within logical bounds.</t>
  </si>
  <si>
    <t>Read this first</t>
  </si>
  <si>
    <t>If the missing-value and range-violation counts are zero, the dataset is ready for formal testing. If not, review and correct the affected rows before interpretation.</t>
  </si>
  <si>
    <t>Mean</t>
  </si>
  <si>
    <t>SD</t>
  </si>
  <si>
    <t>Min</t>
  </si>
  <si>
    <t>Max</t>
  </si>
  <si>
    <t>N</t>
  </si>
  <si>
    <t>Metric</t>
  </si>
  <si>
    <t>Difference (M-C)</t>
  </si>
  <si>
    <t>Sample size</t>
  </si>
  <si>
    <t>Should be similar if groups were balanced.</t>
  </si>
  <si>
    <t>Mean final score</t>
  </si>
  <si>
    <t>Positive value means the mentored group scored higher on average.</t>
  </si>
  <si>
    <t>Mean pre-test score</t>
  </si>
  <si>
    <t>Shows whether groups were similar at baseline.</t>
  </si>
  <si>
    <t>Mean post-test score</t>
  </si>
  <si>
    <t>Helps visualize post-program differences.</t>
  </si>
  <si>
    <t>Mean study hours / week</t>
  </si>
  <si>
    <t>Provides behavioural context for score differences.</t>
  </si>
  <si>
    <t>Mean attendance %</t>
  </si>
  <si>
    <t>Higher attendance may partially explain better outcomes.</t>
  </si>
  <si>
    <t>Gender frequency</t>
  </si>
  <si>
    <t>Attendance category frequency</t>
  </si>
  <si>
    <t>Low</t>
  </si>
  <si>
    <t>Medium</t>
  </si>
  <si>
    <t>High</t>
  </si>
  <si>
    <t>Hypothesis test results (formula driven)</t>
  </si>
  <si>
    <t>A. Independent samples t-test: final exam score by program group</t>
  </si>
  <si>
    <t>Purpose: compare the mean final exam score for two unrelated groups (Mentored vs Control). H0: both group means are equal.</t>
  </si>
  <si>
    <t>Result</t>
  </si>
  <si>
    <t>n</t>
  </si>
  <si>
    <t>Welch t-statistic</t>
  </si>
  <si>
    <t>Degrees of freedom</t>
  </si>
  <si>
    <t>p-value (two-tailed)</t>
  </si>
  <si>
    <t>Cohen's d</t>
  </si>
  <si>
    <t>Decision</t>
  </si>
  <si>
    <t>B. Paired samples t-test: mentored students before vs after the program</t>
  </si>
  <si>
    <t>Purpose: test whether the average within-student change from Pre_Test_Score to Post_Test_Score is different from zero in the mentored group. H0: mean difference = 0.</t>
  </si>
  <si>
    <t>Value</t>
  </si>
  <si>
    <t>n (paired mentored observations)</t>
  </si>
  <si>
    <t>Average pre-test score</t>
  </si>
  <si>
    <t>Average post-test score</t>
  </si>
  <si>
    <t>Mean difference (post - pre)</t>
  </si>
  <si>
    <t>SD of paired differences</t>
  </si>
  <si>
    <t>t-statistic</t>
  </si>
  <si>
    <t>C. Pearson correlation and simple linear regression: study hours vs final exam score</t>
  </si>
  <si>
    <t>Purpose: quantify the strength and direction of the linear relationship between weekly study hours and final exam score, then estimate a prediction line.</t>
  </si>
  <si>
    <t>Pearson correlation (r)</t>
  </si>
  <si>
    <t>t-statistic for r</t>
  </si>
  <si>
    <t>Regression slope</t>
  </si>
  <si>
    <t>Regression intercept</t>
  </si>
  <si>
    <t>R-squared</t>
  </si>
  <si>
    <t>D. One-way ANOVA: final exam score across attendance categories</t>
  </si>
  <si>
    <t>Purpose: test whether average final exam score differs across Low, Medium, and High attendance categories. H0: all three means are equal.</t>
  </si>
  <si>
    <t>ANOVA result</t>
  </si>
  <si>
    <t>Variance</t>
  </si>
  <si>
    <t>Grand mean</t>
  </si>
  <si>
    <t>SS between</t>
  </si>
  <si>
    <t>SS within</t>
  </si>
  <si>
    <t>df between</t>
  </si>
  <si>
    <t>df within</t>
  </si>
  <si>
    <t>MS between</t>
  </si>
  <si>
    <t>MS within</t>
  </si>
  <si>
    <t>F-statistic</t>
  </si>
  <si>
    <t>p-value</t>
  </si>
  <si>
    <t>Eta-squared</t>
  </si>
  <si>
    <t>How to interpret each statistical test</t>
  </si>
  <si>
    <t>Test</t>
  </si>
  <si>
    <t>When it is used</t>
  </si>
  <si>
    <t>Purpose in this sample</t>
  </si>
  <si>
    <t>What the key output means</t>
  </si>
  <si>
    <t>Assumptions to check</t>
  </si>
  <si>
    <t>How to report the result</t>
  </si>
  <si>
    <t>Used at the start of every analysis.</t>
  </si>
  <si>
    <t>Confirms whether the sample size, averages, and variability are sensible before inferential testing.</t>
  </si>
  <si>
    <t>Mean shows average level; SD shows spread; min and max show observed range; counts show sample composition.</t>
  </si>
  <si>
    <t>Check for impossible values, severe outliers, and group imbalance.</t>
  </si>
  <si>
    <t>Example: 'Students studied an average of X hours per week (SD = Y).'</t>
  </si>
  <si>
    <t>Independent samples t-test</t>
  </si>
  <si>
    <t>Used when comparing one numeric outcome across two unrelated groups.</t>
  </si>
  <si>
    <t>Used here to compare mentored vs control final exam scores.</t>
  </si>
  <si>
    <t>A small p-value means the observed mean difference is unlikely under the null hypothesis. Cohen’s d shows practical size of the gap.</t>
  </si>
  <si>
    <t>Outcome should be continuous enough; groups must be independent; severe outliers should be reviewed.</t>
  </si>
  <si>
    <t>Example: 'Final scores were significantly higher in the mentored group (t = X, p = Y, d = Z).'</t>
  </si>
  <si>
    <t>Used when the same individuals are measured twice.</t>
  </si>
  <si>
    <t>Used here to check whether mentored students improved from pre-test to post-test.</t>
  </si>
  <si>
    <t>The mean difference shows average change; a small p-value means the change is statistically significant.</t>
  </si>
  <si>
    <t>Differences should be roughly symmetric; the pairing must be correct for each student.</t>
  </si>
  <si>
    <t>Example: 'Mentored students improved significantly from pre-test to post-test (t = X, p = Y).'</t>
  </si>
  <si>
    <t>Pearson correlation</t>
  </si>
  <si>
    <t>Used when measuring the linear association between two numeric variables.</t>
  </si>
  <si>
    <t>Used here to assess whether study time rises together with final exam score.</t>
  </si>
  <si>
    <t>r ranges from -1 to +1. A positive r means both variables tend to increase together; magnitude indicates strength.</t>
  </si>
  <si>
    <t>Relationship should be roughly linear; strong outliers can distort the coefficient.</t>
  </si>
  <si>
    <t>Example: 'Study hours were positively correlated with final exam score (r = X, p = Y).'</t>
  </si>
  <si>
    <t>Simple linear regression</t>
  </si>
  <si>
    <t>Used when predicting a numeric outcome from one numeric predictor.</t>
  </si>
  <si>
    <t>Used here to estimate how much final exam score changes for each additional study hour.</t>
  </si>
  <si>
    <t>The slope is the expected score increase per extra hour; R² is the share of variance explained by the model.</t>
  </si>
  <si>
    <t>Linearity, constant spread of residuals, and no influential outliers should be reviewed.</t>
  </si>
  <si>
    <t>Example: 'Each additional study hour was associated with an expected X-point increase in final score.'</t>
  </si>
  <si>
    <t>Used when comparing a numeric outcome across three or more independent groups.</t>
  </si>
  <si>
    <t>Used here to compare final score across low, medium, and high attendance categories.</t>
  </si>
  <si>
    <t>A small p-value means at least one group mean differs. Eta-squared shows how much variance is explained by the grouping factor.</t>
  </si>
  <si>
    <t>Independent groups, approximately continuous outcome, and no major distributional problems.</t>
  </si>
  <si>
    <t>Example: 'Final exam score differed significantly by attendance category (F = X, p = Y).'</t>
  </si>
  <si>
    <t>Practical note: significance should not be read in isolation. A very small p-value can still correspond to a trivial effect, while a meaningful effect in a small sample may deserve discussion even if p is slightly above 0.05.</t>
  </si>
  <si>
    <t>Visual dashboard</t>
  </si>
  <si>
    <t>Overall mean final score</t>
  </si>
  <si>
    <t>Mentored mean final score</t>
  </si>
  <si>
    <t>Control mean final score</t>
  </si>
  <si>
    <t>Study-hours correlation (r)</t>
  </si>
  <si>
    <t>Interpretation: the mentored group has the higher average final score, consistent with the t-test.</t>
  </si>
  <si>
    <t>Interpretation: the upward trend line indicates a positive study-hours relationship with performance.</t>
  </si>
  <si>
    <t>Interpretation: students with higher attendance tend to have higher median and average final scores.</t>
  </si>
  <si>
    <t>Interpretation: the mentored group improved materially from baseline to post-test.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</si>
</sst>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8"/>
      <color rgb="FF2F5E9E"/>
      <name val="Calibri"/>
    </font>
    <font>
      <i/>
      <sz val="12"/>
      <color rgb="FF666666"/>
      <name val="Calibri"/>
    </font>
    <font>
      <b/>
      <sz val="11"/>
      <color rgb="FF2F5E9E"/>
      <name val="Calibri"/>
    </font>
    <font>
      <sz val="11"/>
      <color rgb="FF222222"/>
      <name val="Calibri"/>
    </font>
    <font>
      <b/>
      <sz val="11"/>
      <color rgb="FFE61E24"/>
      <name val="Calibri"/>
    </font>
    <font>
      <i/>
      <sz val="10"/>
      <color rgb="FF666666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sz val="10"/>
      <color rgb="FF222222"/>
      <name val="Calibri"/>
    </font>
    <font>
      <b/>
      <sz val="11"/>
      <color rgb="FF0F766E"/>
      <name val="Calibri"/>
    </font>
    <font>
      <b/>
      <sz val="12"/>
      <color rgb="FFFFFFFF"/>
      <name val="Calibri"/>
    </font>
    <font>
      <b/>
      <sz val="11"/>
      <color rgb="FF222222"/>
      <name val="Calibri"/>
    </font>
    <font>
      <b/>
      <sz val="16"/>
      <color rgb="FF222222"/>
      <name val="Calibri"/>
    </font>
    <font>
      <b/>
      <sz val="12"/>
      <color rgb="FF2F5E9E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F5E9E"/>
      </patternFill>
    </fill>
    <fill>
      <patternFill patternType="solid">
        <fgColor rgb="FFF3F5F7"/>
      </patternFill>
    </fill>
    <fill>
      <patternFill patternType="solid">
        <fgColor rgb="FFDCE6F5"/>
      </patternFill>
    </fill>
    <fill>
      <patternFill patternType="solid">
        <fgColor rgb="FFE61E24"/>
      </patternFill>
    </fill>
    <fill>
      <patternFill patternType="solid">
        <fgColor rgb="FFFFFFFF"/>
      </patternFill>
    </fill>
    <fill>
      <patternFill patternType="solid">
        <fgColor rgb="FFE8F6F4"/>
      </patternFill>
    </fill>
    <fill>
      <patternFill patternType="solid">
        <fgColor rgb="FFEAF6EC"/>
      </patternFill>
    </fill>
    <fill>
      <patternFill patternType="solid">
        <fgColor rgb="FFFDE3E4"/>
      </patternFill>
    </fill>
    <fill>
      <patternFill patternType="solid">
        <fgColor rgb="FFFFF4CC"/>
      </patternFill>
    </fill>
  </fills>
  <borders count="66">
    <border>
      <left/>
      <right/>
      <top/>
      <bottom/>
      <diagonal/>
    </border>
    <border>
      <left style="thin">
        <color rgb="FF2F5E9E"/>
      </left>
      <right style="thin">
        <color rgb="FF2F5E9E"/>
      </right>
      <top style="thin">
        <color rgb="FF2F5E9E"/>
      </top>
      <bottom style="thin">
        <color rgb="FF2F5E9E"/>
      </bottom>
      <diagonal/>
    </border>
    <border>
      <left/>
      <right/>
      <top style="thin">
        <color rgb="FF2F5E9E"/>
      </top>
      <bottom/>
      <diagonal/>
    </border>
    <border>
      <left/>
      <right style="thin">
        <color rgb="FF2F5E9E"/>
      </right>
      <top style="thin">
        <color rgb="FF2F5E9E"/>
      </top>
      <bottom/>
      <diagonal/>
    </border>
    <border>
      <left style="thin">
        <color rgb="FF2F5E9E"/>
      </left>
      <right/>
      <top/>
      <bottom style="thin">
        <color rgb="FF2F5E9E"/>
      </bottom>
      <diagonal/>
    </border>
    <border>
      <left/>
      <right/>
      <top/>
      <bottom style="thin">
        <color rgb="FF2F5E9E"/>
      </bottom>
      <diagonal/>
    </border>
    <border>
      <left/>
      <right style="thin">
        <color rgb="FF2F5E9E"/>
      </right>
      <top/>
      <bottom style="thin">
        <color rgb="FF2F5E9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/>
      <bottom style="thin">
        <color rgb="FFD0D7DE"/>
      </bottom>
      <diagonal/>
    </border>
    <border>
      <left style="medium">
        <color rgb="FF2F5E9E"/>
      </left>
      <right style="medium">
        <color rgb="FF2F5E9E"/>
      </right>
      <top style="medium">
        <color rgb="FF2F5E9E"/>
      </top>
      <bottom style="medium">
        <color rgb="FF2F5E9E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E61E24"/>
      </left>
      <right style="medium">
        <color rgb="FFE61E24"/>
      </right>
      <top style="medium">
        <color rgb="FFE61E24"/>
      </top>
      <bottom style="medium">
        <color rgb="FFE61E24"/>
      </bottom>
      <diagonal/>
    </border>
    <border>
      <left style="medium">
        <color rgb="FFD9A441"/>
      </left>
      <right style="medium">
        <color rgb="FFD9A441"/>
      </right>
      <top style="medium">
        <color rgb="FFD9A441"/>
      </top>
      <bottom style="medium">
        <color rgb="FFD9A441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D9A441"/>
      </left>
      <right style="thin">
        <color rgb="FFD9A441"/>
      </right>
      <top style="thin">
        <color rgb="FFD9A441"/>
      </top>
      <bottom style="thin">
        <color rgb="FFD9A441"/>
      </bottom>
      <diagonal/>
    </border>
    <border>
      <left style="thin">
        <color rgb="FFE61E24"/>
      </left>
      <right style="thin">
        <color rgb="FFE61E24"/>
      </right>
      <top style="thin">
        <color rgb="FFE61E24"/>
      </top>
      <bottom style="thin">
        <color rgb="FFE61E24"/>
      </bottom>
      <diagonal/>
    </border>
    <border>
      <left/>
      <right/>
      <top style="thin">
        <color rgb="FF0F766E"/>
      </top>
      <bottom/>
      <diagonal/>
    </border>
    <border>
      <left style="thin">
        <color rgb="FF0F766E"/>
      </left>
      <right/>
      <top/>
      <bottom/>
      <diagonal/>
    </border>
    <border>
      <left/>
      <right style="thin">
        <color rgb="FF0F766E"/>
      </right>
      <top style="thin">
        <color rgb="FF0F766E"/>
      </top>
      <bottom/>
      <diagonal/>
    </border>
    <border>
      <left/>
      <right style="thin">
        <color rgb="FF0F766E"/>
      </right>
      <top/>
      <bottom/>
      <diagonal/>
    </border>
    <border>
      <left style="thin">
        <color rgb="FF0F766E"/>
      </left>
      <right/>
      <top/>
      <bottom style="thin">
        <color rgb="FF0F766E"/>
      </bottom>
      <diagonal/>
    </border>
    <border>
      <left/>
      <right/>
      <top/>
      <bottom style="thin">
        <color rgb="FF0F766E"/>
      </bottom>
      <diagonal/>
    </border>
    <border>
      <left/>
      <right style="thin">
        <color rgb="FF0F766E"/>
      </right>
      <top/>
      <bottom style="thin">
        <color rgb="FF0F766E"/>
      </bottom>
      <diagonal/>
    </border>
    <border>
      <left/>
      <right/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 style="medium">
        <color rgb="FF2F5E9E"/>
      </top>
      <bottom/>
      <diagonal/>
    </border>
    <border>
      <left/>
      <right style="medium">
        <color rgb="FF2F5E9E"/>
      </right>
      <top style="medium">
        <color rgb="FF2F5E9E"/>
      </top>
      <bottom/>
      <diagonal/>
    </border>
    <border>
      <left style="medium">
        <color rgb="FF2F5E9E"/>
      </left>
      <right/>
      <top/>
      <bottom style="medium">
        <color rgb="FF2F5E9E"/>
      </bottom>
      <diagonal/>
    </border>
    <border>
      <left/>
      <right/>
      <top/>
      <bottom style="medium">
        <color rgb="FF2F5E9E"/>
      </bottom>
      <diagonal/>
    </border>
    <border>
      <left/>
      <right style="medium">
        <color rgb="FF2F5E9E"/>
      </right>
      <top/>
      <bottom style="medium">
        <color rgb="FF2F5E9E"/>
      </bottom>
      <diagonal/>
    </border>
    <border>
      <left/>
      <right/>
      <top style="medium">
        <color rgb="FFE61E24"/>
      </top>
      <bottom/>
      <diagonal/>
    </border>
    <border>
      <left/>
      <right style="medium">
        <color rgb="FFE61E24"/>
      </right>
      <top style="medium">
        <color rgb="FFE61E24"/>
      </top>
      <bottom/>
      <diagonal/>
    </border>
    <border>
      <left style="medium">
        <color rgb="FFE61E24"/>
      </left>
      <right/>
      <top/>
      <bottom style="medium">
        <color rgb="FFE61E24"/>
      </bottom>
      <diagonal/>
    </border>
    <border>
      <left/>
      <right/>
      <top/>
      <bottom style="medium">
        <color rgb="FFE61E24"/>
      </bottom>
      <diagonal/>
    </border>
    <border>
      <left/>
      <right style="medium">
        <color rgb="FFE61E24"/>
      </right>
      <top/>
      <bottom style="medium">
        <color rgb="FFE61E24"/>
      </bottom>
      <diagonal/>
    </border>
    <border>
      <left/>
      <right/>
      <top style="medium">
        <color rgb="FF2E7D32"/>
      </top>
      <bottom/>
      <diagonal/>
    </border>
    <border>
      <left/>
      <right style="medium">
        <color rgb="FF2E7D32"/>
      </right>
      <top style="medium">
        <color rgb="FF2E7D32"/>
      </top>
      <bottom/>
      <diagonal/>
    </border>
    <border>
      <left style="medium">
        <color rgb="FF2E7D32"/>
      </left>
      <right/>
      <top/>
      <bottom style="medium">
        <color rgb="FF2E7D32"/>
      </bottom>
      <diagonal/>
    </border>
    <border>
      <left/>
      <right/>
      <top/>
      <bottom style="medium">
        <color rgb="FF2E7D32"/>
      </bottom>
      <diagonal/>
    </border>
    <border>
      <left/>
      <right style="medium">
        <color rgb="FF2E7D32"/>
      </right>
      <top/>
      <bottom style="medium">
        <color rgb="FF2E7D32"/>
      </bottom>
      <diagonal/>
    </border>
    <border>
      <left/>
      <right/>
      <top style="medium">
        <color rgb="FFD9A441"/>
      </top>
      <bottom/>
      <diagonal/>
    </border>
    <border>
      <left/>
      <right style="medium">
        <color rgb="FFD9A441"/>
      </right>
      <top style="medium">
        <color rgb="FFD9A441"/>
      </top>
      <bottom/>
      <diagonal/>
    </border>
    <border>
      <left style="medium">
        <color rgb="FFD9A441"/>
      </left>
      <right/>
      <top/>
      <bottom style="medium">
        <color rgb="FFD9A441"/>
      </bottom>
      <diagonal/>
    </border>
    <border>
      <left/>
      <right/>
      <top/>
      <bottom style="medium">
        <color rgb="FFD9A441"/>
      </bottom>
      <diagonal/>
    </border>
    <border>
      <left/>
      <right style="medium">
        <color rgb="FFD9A441"/>
      </right>
      <top/>
      <bottom style="medium">
        <color rgb="FFD9A441"/>
      </bottom>
      <diagonal/>
    </border>
    <border>
      <left/>
      <right/>
      <top style="thin">
        <color rgb="FFD9A441"/>
      </top>
      <bottom/>
      <diagonal/>
    </border>
    <border>
      <left/>
      <right style="thin">
        <color rgb="FFD9A441"/>
      </right>
      <top style="thin">
        <color rgb="FFD9A441"/>
      </top>
      <bottom/>
      <diagonal/>
    </border>
    <border>
      <left style="thin">
        <color rgb="FFD9A441"/>
      </left>
      <right/>
      <top/>
      <bottom style="thin">
        <color rgb="FFD9A441"/>
      </bottom>
      <diagonal/>
    </border>
    <border>
      <left/>
      <right/>
      <top/>
      <bottom style="thin">
        <color rgb="FFD9A441"/>
      </bottom>
      <diagonal/>
    </border>
    <border>
      <left/>
      <right style="thin">
        <color rgb="FFD9A441"/>
      </right>
      <top/>
      <bottom style="thin">
        <color rgb="FFD9A441"/>
      </bottom>
      <diagonal/>
    </border>
    <border>
      <left/>
      <right/>
      <top style="thin">
        <color rgb="FFE61E24"/>
      </top>
      <bottom/>
      <diagonal/>
    </border>
    <border>
      <left/>
      <right style="thin">
        <color rgb="FFE61E24"/>
      </right>
      <top style="thin">
        <color rgb="FFE61E24"/>
      </top>
      <bottom/>
      <diagonal/>
    </border>
    <border>
      <left style="thin">
        <color rgb="FFE61E24"/>
      </left>
      <right/>
      <top/>
      <bottom style="thin">
        <color rgb="FFE61E24"/>
      </bottom>
      <diagonal/>
    </border>
    <border>
      <left/>
      <right/>
      <top/>
      <bottom style="thin">
        <color rgb="FFE61E24"/>
      </bottom>
      <diagonal/>
    </border>
    <border>
      <left/>
      <right style="thin">
        <color rgb="FFE61E24"/>
      </right>
      <top/>
      <bottom style="thin">
        <color rgb="FFE61E24"/>
      </bottom>
      <diagonal/>
    </border>
    <border>
      <left/>
      <right/>
      <top style="thin">
        <color rgb="FF2E7D32"/>
      </top>
      <bottom/>
      <diagonal/>
    </border>
    <border>
      <left/>
      <right style="thin">
        <color rgb="FF2E7D32"/>
      </right>
      <top style="thin">
        <color rgb="FF2E7D32"/>
      </top>
      <bottom/>
      <diagonal/>
    </border>
    <border>
      <left style="thin">
        <color rgb="FF2E7D32"/>
      </left>
      <right/>
      <top/>
      <bottom style="thin">
        <color rgb="FF2E7D32"/>
      </bottom>
      <diagonal/>
    </border>
    <border>
      <left/>
      <right/>
      <top/>
      <bottom style="thin">
        <color rgb="FF2E7D32"/>
      </bottom>
      <diagonal/>
    </border>
    <border>
      <left/>
      <right style="thin">
        <color rgb="FF2E7D32"/>
      </right>
      <top/>
      <bottom style="thin">
        <color rgb="FF2E7D32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4" borderId="1" xfId="0" applyFont="1" applyFill="1" applyBorder="1" applyAlignment="1">
      <alignment vertical="top"/>
    </xf>
    <xf numFmtId="0" fontId="0" fillId="4" borderId="1" xfId="0" applyFill="1" applyBorder="1"/>
    <xf numFmtId="0" fontId="0" fillId="3" borderId="7" xfId="0" applyFill="1" applyBorder="1" applyAlignment="1">
      <alignment vertical="center" wrapText="1"/>
    </xf>
    <xf numFmtId="0" fontId="0" fillId="3" borderId="7" xfId="0" applyFill="1" applyBorder="1"/>
    <xf numFmtId="0" fontId="9" fillId="5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vertical="top" wrapText="1"/>
    </xf>
    <xf numFmtId="0" fontId="0" fillId="7" borderId="8" xfId="0" applyFill="1" applyBorder="1"/>
    <xf numFmtId="0" fontId="9" fillId="2" borderId="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6" borderId="7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4" fillId="7" borderId="8" xfId="0" applyFont="1" applyFill="1" applyBorder="1"/>
    <xf numFmtId="0" fontId="0" fillId="3" borderId="7" xfId="0" applyFill="1" applyBorder="1" applyAlignment="1">
      <alignment horizontal="left"/>
    </xf>
    <xf numFmtId="164" fontId="0" fillId="3" borderId="7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vertical="top" wrapText="1"/>
    </xf>
    <xf numFmtId="0" fontId="0" fillId="6" borderId="7" xfId="0" applyFill="1" applyBorder="1" applyAlignment="1">
      <alignment horizontal="left"/>
    </xf>
    <xf numFmtId="164" fontId="0" fillId="6" borderId="7" xfId="0" applyNumberFormat="1" applyFill="1" applyBorder="1" applyAlignment="1">
      <alignment horizontal="center"/>
    </xf>
    <xf numFmtId="1" fontId="0" fillId="6" borderId="7" xfId="0" applyNumberFormat="1" applyFill="1" applyBorder="1" applyAlignment="1">
      <alignment horizontal="center"/>
    </xf>
    <xf numFmtId="164" fontId="0" fillId="6" borderId="7" xfId="0" applyNumberFormat="1" applyFill="1" applyBorder="1" applyAlignment="1">
      <alignment vertical="top" wrapText="1"/>
    </xf>
    <xf numFmtId="164" fontId="0" fillId="3" borderId="7" xfId="0" applyNumberFormat="1" applyFill="1" applyBorder="1" applyAlignment="1">
      <alignment vertical="top" wrapText="1"/>
    </xf>
    <xf numFmtId="0" fontId="4" fillId="0" borderId="0" xfId="0" applyFont="1"/>
    <xf numFmtId="1" fontId="0" fillId="3" borderId="7" xfId="0" applyNumberFormat="1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164" fontId="0" fillId="6" borderId="7" xfId="0" applyNumberFormat="1" applyFill="1" applyBorder="1" applyAlignment="1">
      <alignment vertical="center" wrapText="1"/>
    </xf>
    <xf numFmtId="165" fontId="0" fillId="6" borderId="7" xfId="0" applyNumberFormat="1" applyFill="1" applyBorder="1" applyAlignment="1">
      <alignment vertical="center" wrapText="1"/>
    </xf>
    <xf numFmtId="165" fontId="0" fillId="3" borderId="7" xfId="0" applyNumberFormat="1" applyFill="1" applyBorder="1" applyAlignment="1">
      <alignment vertical="center" wrapText="1"/>
    </xf>
    <xf numFmtId="1" fontId="0" fillId="6" borderId="7" xfId="0" applyNumberFormat="1" applyFill="1" applyBorder="1" applyAlignment="1">
      <alignment vertical="center" wrapText="1"/>
    </xf>
    <xf numFmtId="164" fontId="0" fillId="3" borderId="7" xfId="0" applyNumberForma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5" fillId="4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1" fillId="7" borderId="8" xfId="0" applyFont="1" applyFill="1" applyBorder="1" applyAlignment="1">
      <alignment vertical="center" wrapText="1"/>
    </xf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3" borderId="7" xfId="0" applyFill="1" applyBorder="1" applyAlignment="1">
      <alignment vertical="center" wrapText="1"/>
    </xf>
    <xf numFmtId="0" fontId="0" fillId="0" borderId="24" xfId="0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8" fillId="2" borderId="0" xfId="0" applyFont="1" applyFill="1" applyAlignment="1">
      <alignment horizontal="center" vertical="center"/>
    </xf>
    <xf numFmtId="0" fontId="0" fillId="7" borderId="8" xfId="0" applyFill="1" applyBorder="1" applyAlignment="1">
      <alignment vertical="center" wrapText="1"/>
    </xf>
    <xf numFmtId="0" fontId="12" fillId="5" borderId="0" xfId="0" applyFont="1" applyFill="1" applyAlignment="1">
      <alignment horizontal="left"/>
    </xf>
    <xf numFmtId="0" fontId="0" fillId="4" borderId="1" xfId="0" applyFill="1" applyBorder="1" applyAlignment="1">
      <alignment vertical="center" wrapText="1"/>
    </xf>
    <xf numFmtId="164" fontId="14" fillId="4" borderId="10" xfId="0" applyNumberFormat="1" applyFont="1" applyFill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164" fontId="14" fillId="9" borderId="12" xfId="0" applyNumberFormat="1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164" fontId="14" fillId="8" borderId="11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165" fontId="14" fillId="10" borderId="13" xfId="0" applyNumberFormat="1" applyFont="1" applyFill="1" applyBorder="1" applyAlignment="1">
      <alignment horizontal="center" vertical="center" wrapText="1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10" borderId="15" xfId="0" applyFill="1" applyBorder="1" applyAlignment="1">
      <alignment vertical="center" wrapText="1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9" borderId="16" xfId="0" applyFill="1" applyBorder="1" applyAlignment="1">
      <alignment vertical="center" wrapText="1"/>
    </xf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8" borderId="14" xfId="0" applyFill="1" applyBorder="1" applyAlignment="1">
      <alignment vertical="center" wrapText="1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13" fillId="4" borderId="10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 wrapText="1"/>
    </xf>
    <xf numFmtId="0" fontId="13" fillId="10" borderId="1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4000500" cy="1714500"/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3619500" cy="2047875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3619500" cy="2047875"/>
    <xdr:pic>
      <xdr:nvPicPr>
        <xdr:cNvPr id="3" name="/xl/media/image3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3619500" cy="2047875"/>
    <xdr:pic>
      <xdr:nvPicPr>
        <xdr:cNvPr id="4" name="/xl/media/image4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3619500" cy="2047875"/>
    <xdr:pic>
      <xdr:nvPicPr>
        <xdr:cNvPr id="5" name="/xl/media/image5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K121">
  <autoFilter ref="A1:K121" xr:uid="{00000000-0009-0000-0100-000001000000}"/>
  <tableColumns count="11">
    <tableColumn id="1" xr3:uid="{00000000-0010-0000-0000-000001000000}" name="Student_ID"/>
    <tableColumn id="2" xr3:uid="{00000000-0010-0000-0000-000002000000}" name="Program_Group"/>
    <tableColumn id="3" xr3:uid="{00000000-0010-0000-0000-000003000000}" name="Gender"/>
    <tableColumn id="4" xr3:uid="{00000000-0010-0000-0000-000004000000}" name="Age_Years"/>
    <tableColumn id="5" xr3:uid="{00000000-0010-0000-0000-000005000000}" name="Study_Hours_per_Week"/>
    <tableColumn id="6" xr3:uid="{00000000-0010-0000-0000-000006000000}" name="Attendance_Pct"/>
    <tableColumn id="7" xr3:uid="{00000000-0010-0000-0000-000007000000}" name="Sleep_Hours_per_Night"/>
    <tableColumn id="8" xr3:uid="{00000000-0010-0000-0000-000008000000}" name="Pre_Test_Score"/>
    <tableColumn id="9" xr3:uid="{00000000-0010-0000-0000-000009000000}" name="Post_Test_Score"/>
    <tableColumn id="10" xr3:uid="{00000000-0010-0000-0000-00000A000000}" name="Final_Exam_Score"/>
    <tableColumn id="11" xr3:uid="{00000000-0010-0000-0000-00000B000000}" name="Attendance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showGridLines="0" topLeftCell="A20" workbookViewId="0">
      <selection sqref="A1:L3"/>
    </sheetView>
  </sheetViews>
  <sheetFormatPr defaultRowHeight="14.4" x14ac:dyDescent="0.3"/>
  <cols>
    <col min="1" max="12" width="14" customWidth="1"/>
  </cols>
  <sheetData>
    <row r="1" spans="1:12" ht="24" customHeight="1" x14ac:dyDescent="0.3">
      <c r="A1" s="4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4" customHeigh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4" customHeight="1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24" customHeight="1" x14ac:dyDescent="0.3"/>
    <row r="5" spans="1:12" ht="24" customHeight="1" x14ac:dyDescent="0.3">
      <c r="F5" s="33" t="s">
        <v>1</v>
      </c>
      <c r="G5" s="34"/>
      <c r="H5" s="34"/>
      <c r="I5" s="34"/>
      <c r="J5" s="34"/>
      <c r="K5" s="34"/>
      <c r="L5" s="34"/>
    </row>
    <row r="6" spans="1:12" ht="24" customHeight="1" x14ac:dyDescent="0.3">
      <c r="F6" s="34"/>
      <c r="G6" s="34"/>
      <c r="H6" s="34"/>
      <c r="I6" s="34"/>
      <c r="J6" s="34"/>
      <c r="K6" s="34"/>
      <c r="L6" s="34"/>
    </row>
    <row r="7" spans="1:12" ht="24" customHeight="1" x14ac:dyDescent="0.3">
      <c r="F7" s="34"/>
      <c r="G7" s="34"/>
      <c r="H7" s="34"/>
      <c r="I7" s="34"/>
      <c r="J7" s="34"/>
      <c r="K7" s="34"/>
      <c r="L7" s="34"/>
    </row>
    <row r="8" spans="1:12" ht="24" customHeight="1" x14ac:dyDescent="0.3">
      <c r="F8" s="42" t="s">
        <v>2</v>
      </c>
      <c r="G8" s="34"/>
      <c r="H8" s="34"/>
      <c r="I8" s="34"/>
      <c r="J8" s="34"/>
      <c r="K8" s="34"/>
      <c r="L8" s="34"/>
    </row>
    <row r="9" spans="1:12" ht="24" customHeight="1" x14ac:dyDescent="0.3">
      <c r="F9" s="34"/>
      <c r="G9" s="34"/>
      <c r="H9" s="34"/>
      <c r="I9" s="34"/>
      <c r="J9" s="34"/>
      <c r="K9" s="34"/>
      <c r="L9" s="34"/>
    </row>
    <row r="10" spans="1:12" ht="24" customHeight="1" x14ac:dyDescent="0.3">
      <c r="F10" s="34"/>
      <c r="G10" s="34"/>
      <c r="H10" s="34"/>
      <c r="I10" s="34"/>
      <c r="J10" s="34"/>
      <c r="K10" s="34"/>
      <c r="L10" s="34"/>
    </row>
    <row r="11" spans="1:12" ht="24" customHeight="1" x14ac:dyDescent="0.3"/>
    <row r="12" spans="1:12" ht="24" customHeight="1" x14ac:dyDescent="0.3">
      <c r="F12" s="1" t="s">
        <v>3</v>
      </c>
      <c r="G12" s="35" t="s">
        <v>4</v>
      </c>
      <c r="H12" s="36"/>
      <c r="I12" s="36"/>
      <c r="J12" s="36"/>
      <c r="K12" s="36"/>
      <c r="L12" s="37"/>
    </row>
    <row r="13" spans="1:12" ht="24" customHeight="1" x14ac:dyDescent="0.3">
      <c r="F13" s="2"/>
      <c r="G13" s="38"/>
      <c r="H13" s="39"/>
      <c r="I13" s="39"/>
      <c r="J13" s="39"/>
      <c r="K13" s="39"/>
      <c r="L13" s="40"/>
    </row>
    <row r="14" spans="1:12" ht="24" customHeight="1" x14ac:dyDescent="0.3">
      <c r="F14" s="1" t="s">
        <v>5</v>
      </c>
      <c r="G14" s="35" t="s">
        <v>6</v>
      </c>
      <c r="H14" s="36"/>
      <c r="I14" s="36"/>
      <c r="J14" s="36"/>
      <c r="K14" s="36"/>
      <c r="L14" s="37"/>
    </row>
    <row r="15" spans="1:12" ht="24" customHeight="1" x14ac:dyDescent="0.3">
      <c r="F15" s="2"/>
      <c r="G15" s="38"/>
      <c r="H15" s="39"/>
      <c r="I15" s="39"/>
      <c r="J15" s="39"/>
      <c r="K15" s="39"/>
      <c r="L15" s="40"/>
    </row>
    <row r="16" spans="1:12" ht="24" customHeight="1" x14ac:dyDescent="0.3">
      <c r="F16" s="1" t="s">
        <v>7</v>
      </c>
      <c r="G16" s="35" t="s">
        <v>8</v>
      </c>
      <c r="H16" s="36"/>
      <c r="I16" s="36"/>
      <c r="J16" s="36"/>
      <c r="K16" s="36"/>
      <c r="L16" s="37"/>
    </row>
    <row r="17" spans="1:12" ht="24" customHeight="1" x14ac:dyDescent="0.3">
      <c r="F17" s="2"/>
      <c r="G17" s="38"/>
      <c r="H17" s="39"/>
      <c r="I17" s="39"/>
      <c r="J17" s="39"/>
      <c r="K17" s="39"/>
      <c r="L17" s="40"/>
    </row>
    <row r="18" spans="1:12" ht="24" customHeight="1" x14ac:dyDescent="0.3">
      <c r="F18" s="1" t="s">
        <v>9</v>
      </c>
      <c r="G18" s="35" t="s">
        <v>10</v>
      </c>
      <c r="H18" s="36"/>
      <c r="I18" s="36"/>
      <c r="J18" s="36"/>
      <c r="K18" s="36"/>
      <c r="L18" s="37"/>
    </row>
    <row r="19" spans="1:12" ht="24" customHeight="1" x14ac:dyDescent="0.3">
      <c r="F19" s="2"/>
      <c r="G19" s="38"/>
      <c r="H19" s="39"/>
      <c r="I19" s="39"/>
      <c r="J19" s="39"/>
      <c r="K19" s="39"/>
      <c r="L19" s="40"/>
    </row>
    <row r="20" spans="1:12" ht="24" customHeight="1" x14ac:dyDescent="0.3">
      <c r="F20" s="2"/>
      <c r="G20" s="2"/>
      <c r="H20" s="2"/>
      <c r="I20" s="2"/>
      <c r="J20" s="2"/>
      <c r="K20" s="2"/>
      <c r="L20" s="2"/>
    </row>
    <row r="21" spans="1:12" ht="24" customHeight="1" x14ac:dyDescent="0.3">
      <c r="F21" s="2"/>
      <c r="G21" s="2"/>
      <c r="H21" s="2"/>
      <c r="I21" s="2"/>
      <c r="J21" s="2"/>
      <c r="K21" s="2"/>
      <c r="L21" s="2"/>
    </row>
    <row r="22" spans="1:12" ht="24" customHeight="1" x14ac:dyDescent="0.3"/>
    <row r="23" spans="1:12" ht="24" customHeight="1" x14ac:dyDescent="0.3"/>
    <row r="24" spans="1:12" ht="24" customHeight="1" x14ac:dyDescent="0.3">
      <c r="A24" s="44" t="s">
        <v>11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spans="1:12" ht="24" customHeight="1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spans="1:12" ht="24" customHeight="1" x14ac:dyDescent="0.3">
      <c r="A26" s="41" t="s">
        <v>12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spans="1:12" ht="24" customHeigh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</sheetData>
  <mergeCells count="9">
    <mergeCell ref="A1:L3"/>
    <mergeCell ref="A24:L25"/>
    <mergeCell ref="G12:L13"/>
    <mergeCell ref="F5:L7"/>
    <mergeCell ref="G16:L17"/>
    <mergeCell ref="A26:L27"/>
    <mergeCell ref="F8:L10"/>
    <mergeCell ref="G18:L19"/>
    <mergeCell ref="G14:L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workbookViewId="0">
      <selection activeCell="H9" sqref="H9"/>
    </sheetView>
  </sheetViews>
  <sheetFormatPr defaultRowHeight="14.4" x14ac:dyDescent="0.3"/>
  <cols>
    <col min="1" max="1" width="24" customWidth="1"/>
    <col min="2" max="4" width="26" customWidth="1"/>
    <col min="5" max="5" width="28" customWidth="1"/>
    <col min="6" max="6" width="32" customWidth="1"/>
  </cols>
  <sheetData>
    <row r="1" spans="1:6" ht="22.05" customHeight="1" x14ac:dyDescent="0.3">
      <c r="A1" s="61" t="s">
        <v>13</v>
      </c>
      <c r="B1" s="34"/>
      <c r="C1" s="34"/>
      <c r="D1" s="34"/>
      <c r="E1" s="34"/>
      <c r="F1" s="34"/>
    </row>
    <row r="2" spans="1:6" ht="22.05" customHeight="1" x14ac:dyDescent="0.3">
      <c r="A2" s="34"/>
      <c r="B2" s="34"/>
      <c r="C2" s="34"/>
      <c r="D2" s="34"/>
      <c r="E2" s="34"/>
      <c r="F2" s="34"/>
    </row>
    <row r="3" spans="1:6" ht="22.05" customHeight="1" x14ac:dyDescent="0.3"/>
    <row r="4" spans="1:6" ht="22.05" customHeight="1" x14ac:dyDescent="0.3">
      <c r="A4" s="53" t="s">
        <v>14</v>
      </c>
      <c r="B4" s="54"/>
      <c r="C4" s="54"/>
      <c r="D4" s="54"/>
      <c r="E4" s="54"/>
      <c r="F4" s="55"/>
    </row>
    <row r="5" spans="1:6" ht="22.05" customHeight="1" x14ac:dyDescent="0.3">
      <c r="A5" s="56"/>
      <c r="B5" s="34"/>
      <c r="C5" s="34"/>
      <c r="D5" s="34"/>
      <c r="E5" s="34"/>
      <c r="F5" s="57"/>
    </row>
    <row r="6" spans="1:6" ht="22.05" customHeight="1" x14ac:dyDescent="0.3">
      <c r="A6" s="58"/>
      <c r="B6" s="59"/>
      <c r="C6" s="59"/>
      <c r="D6" s="59"/>
      <c r="E6" s="59"/>
      <c r="F6" s="60"/>
    </row>
    <row r="7" spans="1:6" ht="22.05" customHeight="1" x14ac:dyDescent="0.3"/>
    <row r="8" spans="1:6" ht="22.05" customHeight="1" x14ac:dyDescent="0.3">
      <c r="A8" s="5" t="s">
        <v>3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</row>
    <row r="9" spans="1:6" ht="57" customHeight="1" x14ac:dyDescent="0.3">
      <c r="A9" s="6" t="s">
        <v>20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25</v>
      </c>
    </row>
    <row r="10" spans="1:6" ht="48.6" customHeight="1" x14ac:dyDescent="0.3">
      <c r="A10" s="7" t="s">
        <v>26</v>
      </c>
      <c r="B10" s="7" t="s">
        <v>27</v>
      </c>
      <c r="C10" s="7" t="s">
        <v>28</v>
      </c>
      <c r="D10" s="7" t="s">
        <v>29</v>
      </c>
      <c r="E10" s="7" t="s">
        <v>30</v>
      </c>
      <c r="F10" s="7" t="s">
        <v>31</v>
      </c>
    </row>
    <row r="11" spans="1:6" ht="49.2" customHeight="1" x14ac:dyDescent="0.3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37</v>
      </c>
    </row>
    <row r="12" spans="1:6" ht="52.2" customHeight="1" x14ac:dyDescent="0.3">
      <c r="A12" s="7" t="s">
        <v>38</v>
      </c>
      <c r="B12" s="7" t="s">
        <v>39</v>
      </c>
      <c r="C12" s="7" t="s">
        <v>40</v>
      </c>
      <c r="D12" s="7" t="s">
        <v>41</v>
      </c>
      <c r="E12" s="7" t="s">
        <v>42</v>
      </c>
      <c r="F12" s="7" t="s">
        <v>43</v>
      </c>
    </row>
    <row r="13" spans="1:6" ht="46.8" customHeight="1" x14ac:dyDescent="0.3">
      <c r="A13" s="6" t="s">
        <v>44</v>
      </c>
      <c r="B13" s="6" t="s">
        <v>45</v>
      </c>
      <c r="C13" s="6" t="s">
        <v>46</v>
      </c>
      <c r="D13" s="6" t="s">
        <v>47</v>
      </c>
      <c r="E13" s="6" t="s">
        <v>48</v>
      </c>
      <c r="F13" s="6" t="s">
        <v>49</v>
      </c>
    </row>
    <row r="14" spans="1:6" ht="22.05" customHeight="1" x14ac:dyDescent="0.3"/>
    <row r="15" spans="1:6" ht="22.05" customHeight="1" x14ac:dyDescent="0.3">
      <c r="A15" s="45" t="s">
        <v>50</v>
      </c>
      <c r="B15" s="46"/>
      <c r="C15" s="46"/>
      <c r="D15" s="46"/>
      <c r="E15" s="46"/>
      <c r="F15" s="47"/>
    </row>
    <row r="16" spans="1:6" ht="22.05" customHeight="1" x14ac:dyDescent="0.3">
      <c r="A16" s="48"/>
      <c r="B16" s="34"/>
      <c r="C16" s="34"/>
      <c r="D16" s="34"/>
      <c r="E16" s="34"/>
      <c r="F16" s="49"/>
    </row>
    <row r="17" spans="1:6" ht="22.05" customHeight="1" x14ac:dyDescent="0.3">
      <c r="A17" s="50"/>
      <c r="B17" s="51"/>
      <c r="C17" s="51"/>
      <c r="D17" s="51"/>
      <c r="E17" s="51"/>
      <c r="F17" s="52"/>
    </row>
    <row r="18" spans="1:6" ht="22.05" customHeight="1" x14ac:dyDescent="0.3"/>
    <row r="19" spans="1:6" ht="22.05" customHeight="1" x14ac:dyDescent="0.3"/>
  </sheetData>
  <mergeCells count="3">
    <mergeCell ref="A15:F17"/>
    <mergeCell ref="A4:F6"/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workbookViewId="0">
      <selection sqref="A1:G2"/>
    </sheetView>
  </sheetViews>
  <sheetFormatPr defaultRowHeight="14.4" x14ac:dyDescent="0.3"/>
  <cols>
    <col min="1" max="1" width="20" customWidth="1"/>
    <col min="2" max="2" width="28" customWidth="1"/>
    <col min="3" max="4" width="16" customWidth="1"/>
    <col min="5" max="5" width="20" customWidth="1"/>
    <col min="6" max="6" width="26" customWidth="1"/>
    <col min="7" max="7" width="32" customWidth="1"/>
  </cols>
  <sheetData>
    <row r="1" spans="1:7" x14ac:dyDescent="0.3">
      <c r="A1" s="61" t="s">
        <v>51</v>
      </c>
      <c r="B1" s="34"/>
      <c r="C1" s="34"/>
      <c r="D1" s="34"/>
      <c r="E1" s="34"/>
      <c r="F1" s="34"/>
      <c r="G1" s="34"/>
    </row>
    <row r="2" spans="1:7" x14ac:dyDescent="0.3">
      <c r="A2" s="34"/>
      <c r="B2" s="34"/>
      <c r="C2" s="34"/>
      <c r="D2" s="34"/>
      <c r="E2" s="34"/>
      <c r="F2" s="34"/>
      <c r="G2" s="34"/>
    </row>
    <row r="4" spans="1:7" x14ac:dyDescent="0.3">
      <c r="A4" s="5" t="s">
        <v>52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 t="s">
        <v>58</v>
      </c>
    </row>
    <row r="5" spans="1:7" x14ac:dyDescent="0.3">
      <c r="A5" s="6" t="s">
        <v>59</v>
      </c>
      <c r="B5" s="6" t="s">
        <v>60</v>
      </c>
      <c r="C5" s="6" t="s">
        <v>61</v>
      </c>
      <c r="D5" s="6" t="s">
        <v>62</v>
      </c>
      <c r="E5" s="6" t="s">
        <v>63</v>
      </c>
      <c r="F5" s="6" t="s">
        <v>64</v>
      </c>
      <c r="G5" s="6" t="s">
        <v>65</v>
      </c>
    </row>
    <row r="6" spans="1:7" x14ac:dyDescent="0.3">
      <c r="A6" s="7" t="s">
        <v>66</v>
      </c>
      <c r="B6" s="7" t="s">
        <v>67</v>
      </c>
      <c r="C6" s="7" t="s">
        <v>61</v>
      </c>
      <c r="D6" s="7" t="s">
        <v>62</v>
      </c>
      <c r="E6" s="7" t="s">
        <v>68</v>
      </c>
      <c r="F6" s="7" t="s">
        <v>69</v>
      </c>
      <c r="G6" s="7" t="s">
        <v>70</v>
      </c>
    </row>
    <row r="7" spans="1:7" x14ac:dyDescent="0.3">
      <c r="A7" s="6" t="s">
        <v>71</v>
      </c>
      <c r="B7" s="6" t="s">
        <v>72</v>
      </c>
      <c r="C7" s="6" t="s">
        <v>61</v>
      </c>
      <c r="D7" s="6" t="s">
        <v>62</v>
      </c>
      <c r="E7" s="6" t="s">
        <v>73</v>
      </c>
      <c r="F7" s="6" t="s">
        <v>74</v>
      </c>
      <c r="G7" s="6" t="s">
        <v>75</v>
      </c>
    </row>
    <row r="8" spans="1:7" ht="27.6" x14ac:dyDescent="0.3">
      <c r="A8" s="7" t="s">
        <v>76</v>
      </c>
      <c r="B8" s="7" t="s">
        <v>77</v>
      </c>
      <c r="C8" s="7" t="s">
        <v>78</v>
      </c>
      <c r="D8" s="7" t="s">
        <v>55</v>
      </c>
      <c r="E8" s="7" t="s">
        <v>79</v>
      </c>
      <c r="F8" s="7" t="s">
        <v>80</v>
      </c>
      <c r="G8" s="7" t="s">
        <v>81</v>
      </c>
    </row>
    <row r="9" spans="1:7" ht="27.6" x14ac:dyDescent="0.3">
      <c r="A9" s="6" t="s">
        <v>82</v>
      </c>
      <c r="B9" s="6" t="s">
        <v>83</v>
      </c>
      <c r="C9" s="6" t="s">
        <v>78</v>
      </c>
      <c r="D9" s="6" t="s">
        <v>55</v>
      </c>
      <c r="E9" s="6" t="s">
        <v>84</v>
      </c>
      <c r="F9" s="6" t="s">
        <v>85</v>
      </c>
      <c r="G9" s="6" t="s">
        <v>86</v>
      </c>
    </row>
    <row r="10" spans="1:7" ht="27.6" x14ac:dyDescent="0.3">
      <c r="A10" s="7" t="s">
        <v>87</v>
      </c>
      <c r="B10" s="7" t="s">
        <v>88</v>
      </c>
      <c r="C10" s="7" t="s">
        <v>78</v>
      </c>
      <c r="D10" s="7" t="s">
        <v>55</v>
      </c>
      <c r="E10" s="7" t="s">
        <v>89</v>
      </c>
      <c r="F10" s="7" t="s">
        <v>90</v>
      </c>
      <c r="G10" s="7" t="s">
        <v>91</v>
      </c>
    </row>
    <row r="11" spans="1:7" ht="27.6" x14ac:dyDescent="0.3">
      <c r="A11" s="6" t="s">
        <v>92</v>
      </c>
      <c r="B11" s="6" t="s">
        <v>93</v>
      </c>
      <c r="C11" s="6" t="s">
        <v>78</v>
      </c>
      <c r="D11" s="6" t="s">
        <v>55</v>
      </c>
      <c r="E11" s="6" t="s">
        <v>79</v>
      </c>
      <c r="F11" s="6" t="s">
        <v>94</v>
      </c>
      <c r="G11" s="6" t="s">
        <v>95</v>
      </c>
    </row>
    <row r="12" spans="1:7" ht="27.6" x14ac:dyDescent="0.3">
      <c r="A12" s="7" t="s">
        <v>96</v>
      </c>
      <c r="B12" s="7" t="s">
        <v>97</v>
      </c>
      <c r="C12" s="7" t="s">
        <v>78</v>
      </c>
      <c r="D12" s="7" t="s">
        <v>55</v>
      </c>
      <c r="E12" s="7" t="s">
        <v>98</v>
      </c>
      <c r="F12" s="7" t="s">
        <v>99</v>
      </c>
      <c r="G12" s="7" t="s">
        <v>100</v>
      </c>
    </row>
    <row r="13" spans="1:7" ht="27.6" x14ac:dyDescent="0.3">
      <c r="A13" s="6" t="s">
        <v>101</v>
      </c>
      <c r="B13" s="6" t="s">
        <v>102</v>
      </c>
      <c r="C13" s="6" t="s">
        <v>78</v>
      </c>
      <c r="D13" s="6" t="s">
        <v>55</v>
      </c>
      <c r="E13" s="6" t="s">
        <v>103</v>
      </c>
      <c r="F13" s="6" t="s">
        <v>104</v>
      </c>
      <c r="G13" s="6" t="s">
        <v>105</v>
      </c>
    </row>
    <row r="14" spans="1:7" ht="27.6" x14ac:dyDescent="0.3">
      <c r="A14" s="7" t="s">
        <v>106</v>
      </c>
      <c r="B14" s="7" t="s">
        <v>107</v>
      </c>
      <c r="C14" s="7" t="s">
        <v>78</v>
      </c>
      <c r="D14" s="7" t="s">
        <v>55</v>
      </c>
      <c r="E14" s="7" t="s">
        <v>108</v>
      </c>
      <c r="F14" s="7" t="s">
        <v>109</v>
      </c>
      <c r="G14" s="7" t="s">
        <v>110</v>
      </c>
    </row>
    <row r="15" spans="1:7" ht="27.6" x14ac:dyDescent="0.3">
      <c r="A15" s="6" t="s">
        <v>111</v>
      </c>
      <c r="B15" s="6" t="s">
        <v>112</v>
      </c>
      <c r="C15" s="6" t="s">
        <v>61</v>
      </c>
      <c r="D15" s="6" t="s">
        <v>113</v>
      </c>
      <c r="E15" s="6" t="s">
        <v>114</v>
      </c>
      <c r="F15" s="6" t="s">
        <v>115</v>
      </c>
      <c r="G15" s="6" t="s">
        <v>116</v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1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10" customWidth="1"/>
    <col min="5" max="5" width="19" customWidth="1"/>
    <col min="6" max="6" width="14" customWidth="1"/>
    <col min="7" max="7" width="20" customWidth="1"/>
    <col min="8" max="8" width="14" customWidth="1"/>
    <col min="9" max="9" width="15" customWidth="1"/>
    <col min="10" max="10" width="16" customWidth="1"/>
    <col min="11" max="11" width="18" customWidth="1"/>
  </cols>
  <sheetData>
    <row r="1" spans="1:11" ht="28.8" x14ac:dyDescent="0.3">
      <c r="A1" s="9" t="s">
        <v>59</v>
      </c>
      <c r="B1" s="9" t="s">
        <v>66</v>
      </c>
      <c r="C1" s="9" t="s">
        <v>71</v>
      </c>
      <c r="D1" s="9" t="s">
        <v>76</v>
      </c>
      <c r="E1" s="9" t="s">
        <v>82</v>
      </c>
      <c r="F1" s="9" t="s">
        <v>87</v>
      </c>
      <c r="G1" s="9" t="s">
        <v>92</v>
      </c>
      <c r="H1" s="9" t="s">
        <v>96</v>
      </c>
      <c r="I1" s="9" t="s">
        <v>101</v>
      </c>
      <c r="J1" s="9" t="s">
        <v>106</v>
      </c>
      <c r="K1" s="9" t="s">
        <v>111</v>
      </c>
    </row>
    <row r="2" spans="1:11" x14ac:dyDescent="0.3">
      <c r="A2" s="10" t="s">
        <v>117</v>
      </c>
      <c r="B2" s="10" t="s">
        <v>118</v>
      </c>
      <c r="C2" s="10" t="s">
        <v>119</v>
      </c>
      <c r="D2" s="11">
        <v>20</v>
      </c>
      <c r="E2" s="12">
        <v>8.1</v>
      </c>
      <c r="F2" s="12">
        <v>84.2</v>
      </c>
      <c r="G2" s="12">
        <v>5.7</v>
      </c>
      <c r="H2" s="12">
        <v>61.2</v>
      </c>
      <c r="I2" s="12">
        <v>75</v>
      </c>
      <c r="J2" s="12">
        <v>68.2</v>
      </c>
      <c r="K2" s="10" t="str">
        <f t="shared" ref="K2:K33" si="0">IF(F2&lt;75,"Low",IF(F2&lt;90,"Medium","High"))</f>
        <v>Medium</v>
      </c>
    </row>
    <row r="3" spans="1:11" x14ac:dyDescent="0.3">
      <c r="A3" s="10" t="s">
        <v>120</v>
      </c>
      <c r="B3" s="10" t="s">
        <v>118</v>
      </c>
      <c r="C3" s="10" t="s">
        <v>119</v>
      </c>
      <c r="D3" s="11">
        <v>22</v>
      </c>
      <c r="E3" s="12">
        <v>6.1</v>
      </c>
      <c r="F3" s="12">
        <v>85.7</v>
      </c>
      <c r="G3" s="12">
        <v>7.4</v>
      </c>
      <c r="H3" s="12">
        <v>59.6</v>
      </c>
      <c r="I3" s="12">
        <v>68.2</v>
      </c>
      <c r="J3" s="12">
        <v>78.599999999999994</v>
      </c>
      <c r="K3" s="10" t="str">
        <f t="shared" si="0"/>
        <v>Medium</v>
      </c>
    </row>
    <row r="4" spans="1:11" x14ac:dyDescent="0.3">
      <c r="A4" s="10" t="s">
        <v>121</v>
      </c>
      <c r="B4" s="10" t="s">
        <v>118</v>
      </c>
      <c r="C4" s="10" t="s">
        <v>122</v>
      </c>
      <c r="D4" s="11">
        <v>21</v>
      </c>
      <c r="E4" s="12">
        <v>9</v>
      </c>
      <c r="F4" s="12">
        <v>85.1</v>
      </c>
      <c r="G4" s="12">
        <v>6.6</v>
      </c>
      <c r="H4" s="12">
        <v>54</v>
      </c>
      <c r="I4" s="12">
        <v>69.599999999999994</v>
      </c>
      <c r="J4" s="12">
        <v>78.599999999999994</v>
      </c>
      <c r="K4" s="10" t="str">
        <f t="shared" si="0"/>
        <v>Medium</v>
      </c>
    </row>
    <row r="5" spans="1:11" x14ac:dyDescent="0.3">
      <c r="A5" s="10" t="s">
        <v>123</v>
      </c>
      <c r="B5" s="10" t="s">
        <v>124</v>
      </c>
      <c r="C5" s="10" t="s">
        <v>119</v>
      </c>
      <c r="D5" s="11">
        <v>21</v>
      </c>
      <c r="E5" s="12">
        <v>8.6</v>
      </c>
      <c r="F5" s="12">
        <v>91.2</v>
      </c>
      <c r="G5" s="12">
        <v>5</v>
      </c>
      <c r="H5" s="12">
        <v>57.7</v>
      </c>
      <c r="I5" s="12">
        <v>67.099999999999994</v>
      </c>
      <c r="J5" s="12">
        <v>80.3</v>
      </c>
      <c r="K5" s="10" t="str">
        <f t="shared" si="0"/>
        <v>High</v>
      </c>
    </row>
    <row r="6" spans="1:11" x14ac:dyDescent="0.3">
      <c r="A6" s="10" t="s">
        <v>125</v>
      </c>
      <c r="B6" s="10" t="s">
        <v>118</v>
      </c>
      <c r="C6" s="10" t="s">
        <v>122</v>
      </c>
      <c r="D6" s="11">
        <v>21</v>
      </c>
      <c r="E6" s="12">
        <v>8.6999999999999993</v>
      </c>
      <c r="F6" s="12">
        <v>90.9</v>
      </c>
      <c r="G6" s="12">
        <v>7.6</v>
      </c>
      <c r="H6" s="12">
        <v>57.6</v>
      </c>
      <c r="I6" s="12">
        <v>70.3</v>
      </c>
      <c r="J6" s="12">
        <v>89.2</v>
      </c>
      <c r="K6" s="10" t="str">
        <f t="shared" si="0"/>
        <v>High</v>
      </c>
    </row>
    <row r="7" spans="1:11" x14ac:dyDescent="0.3">
      <c r="A7" s="10" t="s">
        <v>126</v>
      </c>
      <c r="B7" s="10" t="s">
        <v>124</v>
      </c>
      <c r="C7" s="10" t="s">
        <v>122</v>
      </c>
      <c r="D7" s="11">
        <v>22</v>
      </c>
      <c r="E7" s="12">
        <v>7.8</v>
      </c>
      <c r="F7" s="12">
        <v>76.2</v>
      </c>
      <c r="G7" s="12">
        <v>7.2</v>
      </c>
      <c r="H7" s="12">
        <v>50.9</v>
      </c>
      <c r="I7" s="12">
        <v>64.3</v>
      </c>
      <c r="J7" s="12">
        <v>70.599999999999994</v>
      </c>
      <c r="K7" s="10" t="str">
        <f t="shared" si="0"/>
        <v>Medium</v>
      </c>
    </row>
    <row r="8" spans="1:11" x14ac:dyDescent="0.3">
      <c r="A8" s="10" t="s">
        <v>127</v>
      </c>
      <c r="B8" s="10" t="s">
        <v>124</v>
      </c>
      <c r="C8" s="10" t="s">
        <v>122</v>
      </c>
      <c r="D8" s="11">
        <v>23</v>
      </c>
      <c r="E8" s="12">
        <v>8</v>
      </c>
      <c r="F8" s="12">
        <v>91.2</v>
      </c>
      <c r="G8" s="12">
        <v>6.4</v>
      </c>
      <c r="H8" s="12">
        <v>64.2</v>
      </c>
      <c r="I8" s="12">
        <v>79.400000000000006</v>
      </c>
      <c r="J8" s="12">
        <v>77</v>
      </c>
      <c r="K8" s="10" t="str">
        <f t="shared" si="0"/>
        <v>High</v>
      </c>
    </row>
    <row r="9" spans="1:11" x14ac:dyDescent="0.3">
      <c r="A9" s="10" t="s">
        <v>128</v>
      </c>
      <c r="B9" s="10" t="s">
        <v>118</v>
      </c>
      <c r="C9" s="10" t="s">
        <v>119</v>
      </c>
      <c r="D9" s="11">
        <v>21</v>
      </c>
      <c r="E9" s="12">
        <v>11.7</v>
      </c>
      <c r="F9" s="12">
        <v>97.2</v>
      </c>
      <c r="G9" s="12">
        <v>5.9</v>
      </c>
      <c r="H9" s="12">
        <v>67.099999999999994</v>
      </c>
      <c r="I9" s="12">
        <v>82.6</v>
      </c>
      <c r="J9" s="12">
        <v>94.5</v>
      </c>
      <c r="K9" s="10" t="str">
        <f t="shared" si="0"/>
        <v>High</v>
      </c>
    </row>
    <row r="10" spans="1:11" x14ac:dyDescent="0.3">
      <c r="A10" s="10" t="s">
        <v>129</v>
      </c>
      <c r="B10" s="10" t="s">
        <v>118</v>
      </c>
      <c r="C10" s="10" t="s">
        <v>122</v>
      </c>
      <c r="D10" s="11">
        <v>22</v>
      </c>
      <c r="E10" s="12">
        <v>7.7</v>
      </c>
      <c r="F10" s="12">
        <v>86.3</v>
      </c>
      <c r="G10" s="12">
        <v>7.7</v>
      </c>
      <c r="H10" s="12">
        <v>48.6</v>
      </c>
      <c r="I10" s="12">
        <v>66.900000000000006</v>
      </c>
      <c r="J10" s="12">
        <v>72.8</v>
      </c>
      <c r="K10" s="10" t="str">
        <f t="shared" si="0"/>
        <v>Medium</v>
      </c>
    </row>
    <row r="11" spans="1:11" x14ac:dyDescent="0.3">
      <c r="A11" s="10" t="s">
        <v>130</v>
      </c>
      <c r="B11" s="10" t="s">
        <v>118</v>
      </c>
      <c r="C11" s="10" t="s">
        <v>122</v>
      </c>
      <c r="D11" s="11">
        <v>18</v>
      </c>
      <c r="E11" s="12">
        <v>7.8</v>
      </c>
      <c r="F11" s="12">
        <v>98.5</v>
      </c>
      <c r="G11" s="12">
        <v>7.3</v>
      </c>
      <c r="H11" s="12">
        <v>61.5</v>
      </c>
      <c r="I11" s="12">
        <v>81.400000000000006</v>
      </c>
      <c r="J11" s="12">
        <v>85.1</v>
      </c>
      <c r="K11" s="10" t="str">
        <f t="shared" si="0"/>
        <v>High</v>
      </c>
    </row>
    <row r="12" spans="1:11" x14ac:dyDescent="0.3">
      <c r="A12" s="10" t="s">
        <v>131</v>
      </c>
      <c r="B12" s="10" t="s">
        <v>124</v>
      </c>
      <c r="C12" s="10" t="s">
        <v>122</v>
      </c>
      <c r="D12" s="11">
        <v>21</v>
      </c>
      <c r="E12" s="12">
        <v>5.3</v>
      </c>
      <c r="F12" s="12">
        <v>68.599999999999994</v>
      </c>
      <c r="G12" s="12">
        <v>8.9</v>
      </c>
      <c r="H12" s="12">
        <v>68.900000000000006</v>
      </c>
      <c r="I12" s="12">
        <v>84.1</v>
      </c>
      <c r="J12" s="12">
        <v>81.3</v>
      </c>
      <c r="K12" s="10" t="str">
        <f t="shared" si="0"/>
        <v>Low</v>
      </c>
    </row>
    <row r="13" spans="1:11" x14ac:dyDescent="0.3">
      <c r="A13" s="10" t="s">
        <v>132</v>
      </c>
      <c r="B13" s="10" t="s">
        <v>124</v>
      </c>
      <c r="C13" s="10" t="s">
        <v>122</v>
      </c>
      <c r="D13" s="11">
        <v>20</v>
      </c>
      <c r="E13" s="12">
        <v>4.8</v>
      </c>
      <c r="F13" s="12">
        <v>68.900000000000006</v>
      </c>
      <c r="G13" s="12">
        <v>7.3</v>
      </c>
      <c r="H13" s="12">
        <v>67.099999999999994</v>
      </c>
      <c r="I13" s="12">
        <v>78.599999999999994</v>
      </c>
      <c r="J13" s="12">
        <v>69.2</v>
      </c>
      <c r="K13" s="10" t="str">
        <f t="shared" si="0"/>
        <v>Low</v>
      </c>
    </row>
    <row r="14" spans="1:11" x14ac:dyDescent="0.3">
      <c r="A14" s="10" t="s">
        <v>133</v>
      </c>
      <c r="B14" s="10" t="s">
        <v>124</v>
      </c>
      <c r="C14" s="10" t="s">
        <v>119</v>
      </c>
      <c r="D14" s="11">
        <v>19</v>
      </c>
      <c r="E14" s="12">
        <v>4.4000000000000004</v>
      </c>
      <c r="F14" s="12">
        <v>68.2</v>
      </c>
      <c r="G14" s="12">
        <v>7.3</v>
      </c>
      <c r="H14" s="12">
        <v>66.5</v>
      </c>
      <c r="I14" s="12">
        <v>80.8</v>
      </c>
      <c r="J14" s="12">
        <v>75.099999999999994</v>
      </c>
      <c r="K14" s="10" t="str">
        <f t="shared" si="0"/>
        <v>Low</v>
      </c>
    </row>
    <row r="15" spans="1:11" x14ac:dyDescent="0.3">
      <c r="A15" s="10" t="s">
        <v>134</v>
      </c>
      <c r="B15" s="10" t="s">
        <v>118</v>
      </c>
      <c r="C15" s="10" t="s">
        <v>122</v>
      </c>
      <c r="D15" s="11">
        <v>20</v>
      </c>
      <c r="E15" s="12">
        <v>6.2</v>
      </c>
      <c r="F15" s="12">
        <v>81.8</v>
      </c>
      <c r="G15" s="12">
        <v>6.9</v>
      </c>
      <c r="H15" s="12">
        <v>61.1</v>
      </c>
      <c r="I15" s="12">
        <v>67.2</v>
      </c>
      <c r="J15" s="12">
        <v>81.2</v>
      </c>
      <c r="K15" s="10" t="str">
        <f t="shared" si="0"/>
        <v>Medium</v>
      </c>
    </row>
    <row r="16" spans="1:11" x14ac:dyDescent="0.3">
      <c r="A16" s="10" t="s">
        <v>135</v>
      </c>
      <c r="B16" s="10" t="s">
        <v>118</v>
      </c>
      <c r="C16" s="10" t="s">
        <v>122</v>
      </c>
      <c r="D16" s="11">
        <v>21</v>
      </c>
      <c r="E16" s="12">
        <v>7.7</v>
      </c>
      <c r="F16" s="12">
        <v>86.1</v>
      </c>
      <c r="G16" s="12">
        <v>7.7</v>
      </c>
      <c r="H16" s="12">
        <v>56.1</v>
      </c>
      <c r="I16" s="12">
        <v>69.400000000000006</v>
      </c>
      <c r="J16" s="12">
        <v>74.599999999999994</v>
      </c>
      <c r="K16" s="10" t="str">
        <f t="shared" si="0"/>
        <v>Medium</v>
      </c>
    </row>
    <row r="17" spans="1:11" x14ac:dyDescent="0.3">
      <c r="A17" s="10" t="s">
        <v>136</v>
      </c>
      <c r="B17" s="10" t="s">
        <v>124</v>
      </c>
      <c r="C17" s="10" t="s">
        <v>122</v>
      </c>
      <c r="D17" s="11">
        <v>23</v>
      </c>
      <c r="E17" s="12">
        <v>7.7</v>
      </c>
      <c r="F17" s="12">
        <v>82.1</v>
      </c>
      <c r="G17" s="12">
        <v>7.5</v>
      </c>
      <c r="H17" s="12">
        <v>52.5</v>
      </c>
      <c r="I17" s="12">
        <v>61.5</v>
      </c>
      <c r="J17" s="12">
        <v>77.2</v>
      </c>
      <c r="K17" s="10" t="str">
        <f t="shared" si="0"/>
        <v>Medium</v>
      </c>
    </row>
    <row r="18" spans="1:11" x14ac:dyDescent="0.3">
      <c r="A18" s="10" t="s">
        <v>137</v>
      </c>
      <c r="B18" s="10" t="s">
        <v>124</v>
      </c>
      <c r="C18" s="10" t="s">
        <v>119</v>
      </c>
      <c r="D18" s="11">
        <v>19</v>
      </c>
      <c r="E18" s="12">
        <v>7.4</v>
      </c>
      <c r="F18" s="12">
        <v>88.5</v>
      </c>
      <c r="G18" s="12">
        <v>8</v>
      </c>
      <c r="H18" s="12">
        <v>64.3</v>
      </c>
      <c r="I18" s="12">
        <v>77.3</v>
      </c>
      <c r="J18" s="12">
        <v>84.1</v>
      </c>
      <c r="K18" s="10" t="str">
        <f t="shared" si="0"/>
        <v>Medium</v>
      </c>
    </row>
    <row r="19" spans="1:11" x14ac:dyDescent="0.3">
      <c r="A19" s="10" t="s">
        <v>138</v>
      </c>
      <c r="B19" s="10" t="s">
        <v>118</v>
      </c>
      <c r="C19" s="10" t="s">
        <v>122</v>
      </c>
      <c r="D19" s="11">
        <v>21</v>
      </c>
      <c r="E19" s="12">
        <v>5.6</v>
      </c>
      <c r="F19" s="12">
        <v>61.7</v>
      </c>
      <c r="G19" s="12">
        <v>6.6</v>
      </c>
      <c r="H19" s="12">
        <v>62.9</v>
      </c>
      <c r="I19" s="12">
        <v>72.2</v>
      </c>
      <c r="J19" s="12">
        <v>73</v>
      </c>
      <c r="K19" s="10" t="str">
        <f t="shared" si="0"/>
        <v>Low</v>
      </c>
    </row>
    <row r="20" spans="1:11" x14ac:dyDescent="0.3">
      <c r="A20" s="10" t="s">
        <v>139</v>
      </c>
      <c r="B20" s="10" t="s">
        <v>124</v>
      </c>
      <c r="C20" s="10" t="s">
        <v>122</v>
      </c>
      <c r="D20" s="11">
        <v>20</v>
      </c>
      <c r="E20" s="12">
        <v>8.1</v>
      </c>
      <c r="F20" s="12">
        <v>69.5</v>
      </c>
      <c r="G20" s="12">
        <v>6.7</v>
      </c>
      <c r="H20" s="12">
        <v>70.8</v>
      </c>
      <c r="I20" s="12">
        <v>81.8</v>
      </c>
      <c r="J20" s="12">
        <v>74.7</v>
      </c>
      <c r="K20" s="10" t="str">
        <f t="shared" si="0"/>
        <v>Low</v>
      </c>
    </row>
    <row r="21" spans="1:11" x14ac:dyDescent="0.3">
      <c r="A21" s="10" t="s">
        <v>140</v>
      </c>
      <c r="B21" s="10" t="s">
        <v>124</v>
      </c>
      <c r="C21" s="10" t="s">
        <v>122</v>
      </c>
      <c r="D21" s="11">
        <v>21</v>
      </c>
      <c r="E21" s="12">
        <v>8.5</v>
      </c>
      <c r="F21" s="12">
        <v>86.2</v>
      </c>
      <c r="G21" s="12">
        <v>6.6</v>
      </c>
      <c r="H21" s="12">
        <v>69.5</v>
      </c>
      <c r="I21" s="12">
        <v>89.7</v>
      </c>
      <c r="J21" s="12">
        <v>77.900000000000006</v>
      </c>
      <c r="K21" s="10" t="str">
        <f t="shared" si="0"/>
        <v>Medium</v>
      </c>
    </row>
    <row r="22" spans="1:11" x14ac:dyDescent="0.3">
      <c r="A22" s="10" t="s">
        <v>141</v>
      </c>
      <c r="B22" s="10" t="s">
        <v>124</v>
      </c>
      <c r="C22" s="10" t="s">
        <v>119</v>
      </c>
      <c r="D22" s="11">
        <v>23</v>
      </c>
      <c r="E22" s="12">
        <v>6.7</v>
      </c>
      <c r="F22" s="12">
        <v>79.8</v>
      </c>
      <c r="G22" s="12">
        <v>7.6</v>
      </c>
      <c r="H22" s="12">
        <v>59.4</v>
      </c>
      <c r="I22" s="12">
        <v>70.2</v>
      </c>
      <c r="J22" s="12">
        <v>71.099999999999994</v>
      </c>
      <c r="K22" s="10" t="str">
        <f t="shared" si="0"/>
        <v>Medium</v>
      </c>
    </row>
    <row r="23" spans="1:11" x14ac:dyDescent="0.3">
      <c r="A23" s="10" t="s">
        <v>142</v>
      </c>
      <c r="B23" s="10" t="s">
        <v>118</v>
      </c>
      <c r="C23" s="10" t="s">
        <v>119</v>
      </c>
      <c r="D23" s="11">
        <v>22</v>
      </c>
      <c r="E23" s="12">
        <v>7.2</v>
      </c>
      <c r="F23" s="12">
        <v>96.9</v>
      </c>
      <c r="G23" s="12">
        <v>8.1999999999999993</v>
      </c>
      <c r="H23" s="12">
        <v>53.1</v>
      </c>
      <c r="I23" s="12">
        <v>69.599999999999994</v>
      </c>
      <c r="J23" s="12">
        <v>83.3</v>
      </c>
      <c r="K23" s="10" t="str">
        <f t="shared" si="0"/>
        <v>High</v>
      </c>
    </row>
    <row r="24" spans="1:11" x14ac:dyDescent="0.3">
      <c r="A24" s="10" t="s">
        <v>143</v>
      </c>
      <c r="B24" s="10" t="s">
        <v>118</v>
      </c>
      <c r="C24" s="10" t="s">
        <v>119</v>
      </c>
      <c r="D24" s="11">
        <v>23</v>
      </c>
      <c r="E24" s="12">
        <v>8.5</v>
      </c>
      <c r="F24" s="12">
        <v>80.3</v>
      </c>
      <c r="G24" s="12">
        <v>6.6</v>
      </c>
      <c r="H24" s="12">
        <v>59.7</v>
      </c>
      <c r="I24" s="12">
        <v>73.5</v>
      </c>
      <c r="J24" s="12">
        <v>74.8</v>
      </c>
      <c r="K24" s="10" t="str">
        <f t="shared" si="0"/>
        <v>Medium</v>
      </c>
    </row>
    <row r="25" spans="1:11" x14ac:dyDescent="0.3">
      <c r="A25" s="10" t="s">
        <v>144</v>
      </c>
      <c r="B25" s="10" t="s">
        <v>124</v>
      </c>
      <c r="C25" s="10" t="s">
        <v>122</v>
      </c>
      <c r="D25" s="11">
        <v>21</v>
      </c>
      <c r="E25" s="12">
        <v>7.2</v>
      </c>
      <c r="F25" s="12">
        <v>77.3</v>
      </c>
      <c r="G25" s="12">
        <v>6.7</v>
      </c>
      <c r="H25" s="12">
        <v>61.5</v>
      </c>
      <c r="I25" s="12">
        <v>73.400000000000006</v>
      </c>
      <c r="J25" s="12">
        <v>76.2</v>
      </c>
      <c r="K25" s="10" t="str">
        <f t="shared" si="0"/>
        <v>Medium</v>
      </c>
    </row>
    <row r="26" spans="1:11" x14ac:dyDescent="0.3">
      <c r="A26" s="10" t="s">
        <v>145</v>
      </c>
      <c r="B26" s="10" t="s">
        <v>118</v>
      </c>
      <c r="C26" s="10" t="s">
        <v>119</v>
      </c>
      <c r="D26" s="11">
        <v>20</v>
      </c>
      <c r="E26" s="12">
        <v>5.5</v>
      </c>
      <c r="F26" s="12">
        <v>88.6</v>
      </c>
      <c r="G26" s="12">
        <v>7.3</v>
      </c>
      <c r="H26" s="12">
        <v>59</v>
      </c>
      <c r="I26" s="12">
        <v>72.3</v>
      </c>
      <c r="J26" s="12">
        <v>71.2</v>
      </c>
      <c r="K26" s="10" t="str">
        <f t="shared" si="0"/>
        <v>Medium</v>
      </c>
    </row>
    <row r="27" spans="1:11" x14ac:dyDescent="0.3">
      <c r="A27" s="10" t="s">
        <v>146</v>
      </c>
      <c r="B27" s="10" t="s">
        <v>118</v>
      </c>
      <c r="C27" s="10" t="s">
        <v>119</v>
      </c>
      <c r="D27" s="11">
        <v>21</v>
      </c>
      <c r="E27" s="12">
        <v>7.5</v>
      </c>
      <c r="F27" s="12">
        <v>80.599999999999994</v>
      </c>
      <c r="G27" s="12">
        <v>6.8</v>
      </c>
      <c r="H27" s="12">
        <v>57</v>
      </c>
      <c r="I27" s="12">
        <v>72.7</v>
      </c>
      <c r="J27" s="12">
        <v>76</v>
      </c>
      <c r="K27" s="10" t="str">
        <f t="shared" si="0"/>
        <v>Medium</v>
      </c>
    </row>
    <row r="28" spans="1:11" x14ac:dyDescent="0.3">
      <c r="A28" s="10" t="s">
        <v>147</v>
      </c>
      <c r="B28" s="10" t="s">
        <v>124</v>
      </c>
      <c r="C28" s="10" t="s">
        <v>119</v>
      </c>
      <c r="D28" s="11">
        <v>22</v>
      </c>
      <c r="E28" s="12">
        <v>7.6</v>
      </c>
      <c r="F28" s="12">
        <v>83</v>
      </c>
      <c r="G28" s="12">
        <v>7.8</v>
      </c>
      <c r="H28" s="12">
        <v>63.5</v>
      </c>
      <c r="I28" s="12">
        <v>80.2</v>
      </c>
      <c r="J28" s="12">
        <v>79.3</v>
      </c>
      <c r="K28" s="10" t="str">
        <f t="shared" si="0"/>
        <v>Medium</v>
      </c>
    </row>
    <row r="29" spans="1:11" x14ac:dyDescent="0.3">
      <c r="A29" s="10" t="s">
        <v>148</v>
      </c>
      <c r="B29" s="10" t="s">
        <v>124</v>
      </c>
      <c r="C29" s="10" t="s">
        <v>122</v>
      </c>
      <c r="D29" s="11">
        <v>21</v>
      </c>
      <c r="E29" s="12">
        <v>6.2</v>
      </c>
      <c r="F29" s="12">
        <v>97</v>
      </c>
      <c r="G29" s="12">
        <v>5.2</v>
      </c>
      <c r="H29" s="12">
        <v>53.2</v>
      </c>
      <c r="I29" s="12">
        <v>71.8</v>
      </c>
      <c r="J29" s="12">
        <v>83</v>
      </c>
      <c r="K29" s="10" t="str">
        <f t="shared" si="0"/>
        <v>High</v>
      </c>
    </row>
    <row r="30" spans="1:11" x14ac:dyDescent="0.3">
      <c r="A30" s="10" t="s">
        <v>149</v>
      </c>
      <c r="B30" s="10" t="s">
        <v>124</v>
      </c>
      <c r="C30" s="10" t="s">
        <v>122</v>
      </c>
      <c r="D30" s="11">
        <v>19</v>
      </c>
      <c r="E30" s="12">
        <v>7.3</v>
      </c>
      <c r="F30" s="12">
        <v>80.5</v>
      </c>
      <c r="G30" s="12">
        <v>6.3</v>
      </c>
      <c r="H30" s="12">
        <v>54.4</v>
      </c>
      <c r="I30" s="12">
        <v>67.5</v>
      </c>
      <c r="J30" s="12">
        <v>63.2</v>
      </c>
      <c r="K30" s="10" t="str">
        <f t="shared" si="0"/>
        <v>Medium</v>
      </c>
    </row>
    <row r="31" spans="1:11" x14ac:dyDescent="0.3">
      <c r="A31" s="10" t="s">
        <v>150</v>
      </c>
      <c r="B31" s="10" t="s">
        <v>124</v>
      </c>
      <c r="C31" s="10" t="s">
        <v>122</v>
      </c>
      <c r="D31" s="11">
        <v>21</v>
      </c>
      <c r="E31" s="12">
        <v>5.2</v>
      </c>
      <c r="F31" s="12">
        <v>96.5</v>
      </c>
      <c r="G31" s="12">
        <v>6.4</v>
      </c>
      <c r="H31" s="12">
        <v>60.3</v>
      </c>
      <c r="I31" s="12">
        <v>74.2</v>
      </c>
      <c r="J31" s="12">
        <v>81.900000000000006</v>
      </c>
      <c r="K31" s="10" t="str">
        <f t="shared" si="0"/>
        <v>High</v>
      </c>
    </row>
    <row r="32" spans="1:11" x14ac:dyDescent="0.3">
      <c r="A32" s="10" t="s">
        <v>151</v>
      </c>
      <c r="B32" s="10" t="s">
        <v>118</v>
      </c>
      <c r="C32" s="10" t="s">
        <v>119</v>
      </c>
      <c r="D32" s="11">
        <v>22</v>
      </c>
      <c r="E32" s="12">
        <v>10.3</v>
      </c>
      <c r="F32" s="12">
        <v>91.1</v>
      </c>
      <c r="G32" s="12">
        <v>5.0999999999999996</v>
      </c>
      <c r="H32" s="12">
        <v>58.6</v>
      </c>
      <c r="I32" s="12">
        <v>70.8</v>
      </c>
      <c r="J32" s="12">
        <v>83.2</v>
      </c>
      <c r="K32" s="10" t="str">
        <f t="shared" si="0"/>
        <v>High</v>
      </c>
    </row>
    <row r="33" spans="1:11" x14ac:dyDescent="0.3">
      <c r="A33" s="10" t="s">
        <v>152</v>
      </c>
      <c r="B33" s="10" t="s">
        <v>118</v>
      </c>
      <c r="C33" s="10" t="s">
        <v>122</v>
      </c>
      <c r="D33" s="11">
        <v>25</v>
      </c>
      <c r="E33" s="12">
        <v>10.3</v>
      </c>
      <c r="F33" s="12">
        <v>95.7</v>
      </c>
      <c r="G33" s="12">
        <v>6.2</v>
      </c>
      <c r="H33" s="12">
        <v>65.099999999999994</v>
      </c>
      <c r="I33" s="12">
        <v>81.7</v>
      </c>
      <c r="J33" s="12">
        <v>90.9</v>
      </c>
      <c r="K33" s="10" t="str">
        <f t="shared" si="0"/>
        <v>High</v>
      </c>
    </row>
    <row r="34" spans="1:11" x14ac:dyDescent="0.3">
      <c r="A34" s="10" t="s">
        <v>153</v>
      </c>
      <c r="B34" s="10" t="s">
        <v>124</v>
      </c>
      <c r="C34" s="10" t="s">
        <v>122</v>
      </c>
      <c r="D34" s="11">
        <v>24</v>
      </c>
      <c r="E34" s="12">
        <v>6.1</v>
      </c>
      <c r="F34" s="12">
        <v>68.5</v>
      </c>
      <c r="G34" s="12">
        <v>6.3</v>
      </c>
      <c r="H34" s="12">
        <v>60.6</v>
      </c>
      <c r="I34" s="12">
        <v>74.400000000000006</v>
      </c>
      <c r="J34" s="12">
        <v>69.599999999999994</v>
      </c>
      <c r="K34" s="10" t="str">
        <f t="shared" ref="K34:K65" si="1">IF(F34&lt;75,"Low",IF(F34&lt;90,"Medium","High"))</f>
        <v>Low</v>
      </c>
    </row>
    <row r="35" spans="1:11" x14ac:dyDescent="0.3">
      <c r="A35" s="10" t="s">
        <v>154</v>
      </c>
      <c r="B35" s="10" t="s">
        <v>118</v>
      </c>
      <c r="C35" s="10" t="s">
        <v>122</v>
      </c>
      <c r="D35" s="11">
        <v>20</v>
      </c>
      <c r="E35" s="12">
        <v>8.6</v>
      </c>
      <c r="F35" s="12">
        <v>90.1</v>
      </c>
      <c r="G35" s="12">
        <v>6.8</v>
      </c>
      <c r="H35" s="12">
        <v>53.4</v>
      </c>
      <c r="I35" s="12">
        <v>72.099999999999994</v>
      </c>
      <c r="J35" s="12">
        <v>81.5</v>
      </c>
      <c r="K35" s="10" t="str">
        <f t="shared" si="1"/>
        <v>High</v>
      </c>
    </row>
    <row r="36" spans="1:11" x14ac:dyDescent="0.3">
      <c r="A36" s="10" t="s">
        <v>155</v>
      </c>
      <c r="B36" s="10" t="s">
        <v>118</v>
      </c>
      <c r="C36" s="10" t="s">
        <v>119</v>
      </c>
      <c r="D36" s="11">
        <v>21</v>
      </c>
      <c r="E36" s="12">
        <v>3.8</v>
      </c>
      <c r="F36" s="12">
        <v>87</v>
      </c>
      <c r="G36" s="12">
        <v>7.9</v>
      </c>
      <c r="H36" s="12">
        <v>56.2</v>
      </c>
      <c r="I36" s="12">
        <v>69.099999999999994</v>
      </c>
      <c r="J36" s="12">
        <v>73.099999999999994</v>
      </c>
      <c r="K36" s="10" t="str">
        <f t="shared" si="1"/>
        <v>Medium</v>
      </c>
    </row>
    <row r="37" spans="1:11" x14ac:dyDescent="0.3">
      <c r="A37" s="10" t="s">
        <v>156</v>
      </c>
      <c r="B37" s="10" t="s">
        <v>118</v>
      </c>
      <c r="C37" s="10" t="s">
        <v>122</v>
      </c>
      <c r="D37" s="11">
        <v>19</v>
      </c>
      <c r="E37" s="12">
        <v>5.7</v>
      </c>
      <c r="F37" s="12">
        <v>81.599999999999994</v>
      </c>
      <c r="G37" s="12">
        <v>6.8</v>
      </c>
      <c r="H37" s="12">
        <v>71.7</v>
      </c>
      <c r="I37" s="12">
        <v>88</v>
      </c>
      <c r="J37" s="12">
        <v>90.1</v>
      </c>
      <c r="K37" s="10" t="str">
        <f t="shared" si="1"/>
        <v>Medium</v>
      </c>
    </row>
    <row r="38" spans="1:11" x14ac:dyDescent="0.3">
      <c r="A38" s="10" t="s">
        <v>157</v>
      </c>
      <c r="B38" s="10" t="s">
        <v>124</v>
      </c>
      <c r="C38" s="10" t="s">
        <v>119</v>
      </c>
      <c r="D38" s="11">
        <v>20</v>
      </c>
      <c r="E38" s="12">
        <v>6.5</v>
      </c>
      <c r="F38" s="12">
        <v>79.400000000000006</v>
      </c>
      <c r="G38" s="12">
        <v>6.2</v>
      </c>
      <c r="H38" s="12">
        <v>49.3</v>
      </c>
      <c r="I38" s="12">
        <v>62.4</v>
      </c>
      <c r="J38" s="12">
        <v>63.5</v>
      </c>
      <c r="K38" s="10" t="str">
        <f t="shared" si="1"/>
        <v>Medium</v>
      </c>
    </row>
    <row r="39" spans="1:11" x14ac:dyDescent="0.3">
      <c r="A39" s="10" t="s">
        <v>158</v>
      </c>
      <c r="B39" s="10" t="s">
        <v>118</v>
      </c>
      <c r="C39" s="10" t="s">
        <v>119</v>
      </c>
      <c r="D39" s="11">
        <v>22</v>
      </c>
      <c r="E39" s="12">
        <v>6.5</v>
      </c>
      <c r="F39" s="12">
        <v>97</v>
      </c>
      <c r="G39" s="12">
        <v>7</v>
      </c>
      <c r="H39" s="12">
        <v>44.2</v>
      </c>
      <c r="I39" s="12">
        <v>63.3</v>
      </c>
      <c r="J39" s="12">
        <v>78.599999999999994</v>
      </c>
      <c r="K39" s="10" t="str">
        <f t="shared" si="1"/>
        <v>High</v>
      </c>
    </row>
    <row r="40" spans="1:11" x14ac:dyDescent="0.3">
      <c r="A40" s="10" t="s">
        <v>159</v>
      </c>
      <c r="B40" s="10" t="s">
        <v>118</v>
      </c>
      <c r="C40" s="10" t="s">
        <v>119</v>
      </c>
      <c r="D40" s="11">
        <v>23</v>
      </c>
      <c r="E40" s="12">
        <v>8.6</v>
      </c>
      <c r="F40" s="12">
        <v>74.5</v>
      </c>
      <c r="G40" s="12">
        <v>7.8</v>
      </c>
      <c r="H40" s="12">
        <v>48.8</v>
      </c>
      <c r="I40" s="12">
        <v>64.2</v>
      </c>
      <c r="J40" s="12">
        <v>71</v>
      </c>
      <c r="K40" s="10" t="str">
        <f t="shared" si="1"/>
        <v>Low</v>
      </c>
    </row>
    <row r="41" spans="1:11" x14ac:dyDescent="0.3">
      <c r="A41" s="10" t="s">
        <v>160</v>
      </c>
      <c r="B41" s="10" t="s">
        <v>118</v>
      </c>
      <c r="C41" s="10" t="s">
        <v>122</v>
      </c>
      <c r="D41" s="11">
        <v>20</v>
      </c>
      <c r="E41" s="12">
        <v>11.5</v>
      </c>
      <c r="F41" s="12">
        <v>92.6</v>
      </c>
      <c r="G41" s="12">
        <v>6.2</v>
      </c>
      <c r="H41" s="12">
        <v>64.400000000000006</v>
      </c>
      <c r="I41" s="12">
        <v>80.5</v>
      </c>
      <c r="J41" s="12">
        <v>89.2</v>
      </c>
      <c r="K41" s="10" t="str">
        <f t="shared" si="1"/>
        <v>High</v>
      </c>
    </row>
    <row r="42" spans="1:11" x14ac:dyDescent="0.3">
      <c r="A42" s="10" t="s">
        <v>161</v>
      </c>
      <c r="B42" s="10" t="s">
        <v>124</v>
      </c>
      <c r="C42" s="10" t="s">
        <v>119</v>
      </c>
      <c r="D42" s="11">
        <v>20</v>
      </c>
      <c r="E42" s="12">
        <v>5.4</v>
      </c>
      <c r="F42" s="12">
        <v>91</v>
      </c>
      <c r="G42" s="12">
        <v>6.3</v>
      </c>
      <c r="H42" s="12">
        <v>58.1</v>
      </c>
      <c r="I42" s="12">
        <v>70.8</v>
      </c>
      <c r="J42" s="12">
        <v>66.3</v>
      </c>
      <c r="K42" s="10" t="str">
        <f t="shared" si="1"/>
        <v>High</v>
      </c>
    </row>
    <row r="43" spans="1:11" x14ac:dyDescent="0.3">
      <c r="A43" s="10" t="s">
        <v>162</v>
      </c>
      <c r="B43" s="10" t="s">
        <v>118</v>
      </c>
      <c r="C43" s="10" t="s">
        <v>119</v>
      </c>
      <c r="D43" s="11">
        <v>18</v>
      </c>
      <c r="E43" s="12">
        <v>6.8</v>
      </c>
      <c r="F43" s="12">
        <v>96</v>
      </c>
      <c r="G43" s="12">
        <v>7.4</v>
      </c>
      <c r="H43" s="12">
        <v>60.9</v>
      </c>
      <c r="I43" s="12">
        <v>64.400000000000006</v>
      </c>
      <c r="J43" s="12">
        <v>85.1</v>
      </c>
      <c r="K43" s="10" t="str">
        <f t="shared" si="1"/>
        <v>High</v>
      </c>
    </row>
    <row r="44" spans="1:11" x14ac:dyDescent="0.3">
      <c r="A44" s="10" t="s">
        <v>163</v>
      </c>
      <c r="B44" s="10" t="s">
        <v>124</v>
      </c>
      <c r="C44" s="10" t="s">
        <v>119</v>
      </c>
      <c r="D44" s="11">
        <v>21</v>
      </c>
      <c r="E44" s="12">
        <v>7.3</v>
      </c>
      <c r="F44" s="12">
        <v>76.3</v>
      </c>
      <c r="G44" s="12">
        <v>6.8</v>
      </c>
      <c r="H44" s="12">
        <v>69.7</v>
      </c>
      <c r="I44" s="12">
        <v>82.7</v>
      </c>
      <c r="J44" s="12">
        <v>86</v>
      </c>
      <c r="K44" s="10" t="str">
        <f t="shared" si="1"/>
        <v>Medium</v>
      </c>
    </row>
    <row r="45" spans="1:11" x14ac:dyDescent="0.3">
      <c r="A45" s="10" t="s">
        <v>164</v>
      </c>
      <c r="B45" s="10" t="s">
        <v>124</v>
      </c>
      <c r="C45" s="10" t="s">
        <v>122</v>
      </c>
      <c r="D45" s="11">
        <v>20</v>
      </c>
      <c r="E45" s="12">
        <v>10.199999999999999</v>
      </c>
      <c r="F45" s="12">
        <v>90.3</v>
      </c>
      <c r="G45" s="12">
        <v>7.5</v>
      </c>
      <c r="H45" s="12">
        <v>41.8</v>
      </c>
      <c r="I45" s="12">
        <v>45</v>
      </c>
      <c r="J45" s="12">
        <v>71.8</v>
      </c>
      <c r="K45" s="10" t="str">
        <f t="shared" si="1"/>
        <v>High</v>
      </c>
    </row>
    <row r="46" spans="1:11" x14ac:dyDescent="0.3">
      <c r="A46" s="10" t="s">
        <v>165</v>
      </c>
      <c r="B46" s="10" t="s">
        <v>118</v>
      </c>
      <c r="C46" s="10" t="s">
        <v>122</v>
      </c>
      <c r="D46" s="11">
        <v>20</v>
      </c>
      <c r="E46" s="12">
        <v>5.4</v>
      </c>
      <c r="F46" s="12">
        <v>77.099999999999994</v>
      </c>
      <c r="G46" s="12">
        <v>7</v>
      </c>
      <c r="H46" s="12">
        <v>63.4</v>
      </c>
      <c r="I46" s="12">
        <v>69.3</v>
      </c>
      <c r="J46" s="12">
        <v>75.7</v>
      </c>
      <c r="K46" s="10" t="str">
        <f t="shared" si="1"/>
        <v>Medium</v>
      </c>
    </row>
    <row r="47" spans="1:11" x14ac:dyDescent="0.3">
      <c r="A47" s="10" t="s">
        <v>166</v>
      </c>
      <c r="B47" s="10" t="s">
        <v>124</v>
      </c>
      <c r="C47" s="10" t="s">
        <v>122</v>
      </c>
      <c r="D47" s="11">
        <v>20</v>
      </c>
      <c r="E47" s="12">
        <v>7.3</v>
      </c>
      <c r="F47" s="12">
        <v>77.900000000000006</v>
      </c>
      <c r="G47" s="12">
        <v>7.6</v>
      </c>
      <c r="H47" s="12">
        <v>73.5</v>
      </c>
      <c r="I47" s="12">
        <v>86.9</v>
      </c>
      <c r="J47" s="12">
        <v>76.400000000000006</v>
      </c>
      <c r="K47" s="10" t="str">
        <f t="shared" si="1"/>
        <v>Medium</v>
      </c>
    </row>
    <row r="48" spans="1:11" x14ac:dyDescent="0.3">
      <c r="A48" s="10" t="s">
        <v>167</v>
      </c>
      <c r="B48" s="10" t="s">
        <v>124</v>
      </c>
      <c r="C48" s="10" t="s">
        <v>122</v>
      </c>
      <c r="D48" s="11">
        <v>21</v>
      </c>
      <c r="E48" s="12">
        <v>10.7</v>
      </c>
      <c r="F48" s="12">
        <v>95.9</v>
      </c>
      <c r="G48" s="12">
        <v>6.2</v>
      </c>
      <c r="H48" s="12">
        <v>53</v>
      </c>
      <c r="I48" s="12">
        <v>70</v>
      </c>
      <c r="J48" s="12">
        <v>77.400000000000006</v>
      </c>
      <c r="K48" s="10" t="str">
        <f t="shared" si="1"/>
        <v>High</v>
      </c>
    </row>
    <row r="49" spans="1:11" x14ac:dyDescent="0.3">
      <c r="A49" s="10" t="s">
        <v>168</v>
      </c>
      <c r="B49" s="10" t="s">
        <v>124</v>
      </c>
      <c r="C49" s="10" t="s">
        <v>122</v>
      </c>
      <c r="D49" s="11">
        <v>18</v>
      </c>
      <c r="E49" s="12">
        <v>3.4</v>
      </c>
      <c r="F49" s="12">
        <v>60.1</v>
      </c>
      <c r="G49" s="12">
        <v>7</v>
      </c>
      <c r="H49" s="12">
        <v>54.1</v>
      </c>
      <c r="I49" s="12">
        <v>57.6</v>
      </c>
      <c r="J49" s="12">
        <v>51.8</v>
      </c>
      <c r="K49" s="10" t="str">
        <f t="shared" si="1"/>
        <v>Low</v>
      </c>
    </row>
    <row r="50" spans="1:11" x14ac:dyDescent="0.3">
      <c r="A50" s="10" t="s">
        <v>169</v>
      </c>
      <c r="B50" s="10" t="s">
        <v>118</v>
      </c>
      <c r="C50" s="10" t="s">
        <v>122</v>
      </c>
      <c r="D50" s="11">
        <v>19</v>
      </c>
      <c r="E50" s="12">
        <v>5</v>
      </c>
      <c r="F50" s="12">
        <v>68.8</v>
      </c>
      <c r="G50" s="12">
        <v>6.8</v>
      </c>
      <c r="H50" s="12">
        <v>53.6</v>
      </c>
      <c r="I50" s="12">
        <v>62.5</v>
      </c>
      <c r="J50" s="12">
        <v>63.6</v>
      </c>
      <c r="K50" s="10" t="str">
        <f t="shared" si="1"/>
        <v>Low</v>
      </c>
    </row>
    <row r="51" spans="1:11" x14ac:dyDescent="0.3">
      <c r="A51" s="10" t="s">
        <v>170</v>
      </c>
      <c r="B51" s="10" t="s">
        <v>118</v>
      </c>
      <c r="C51" s="10" t="s">
        <v>122</v>
      </c>
      <c r="D51" s="11">
        <v>25</v>
      </c>
      <c r="E51" s="12">
        <v>7.4</v>
      </c>
      <c r="F51" s="12">
        <v>92.1</v>
      </c>
      <c r="G51" s="12">
        <v>6</v>
      </c>
      <c r="H51" s="12">
        <v>53.5</v>
      </c>
      <c r="I51" s="12">
        <v>73.5</v>
      </c>
      <c r="J51" s="12">
        <v>77.7</v>
      </c>
      <c r="K51" s="10" t="str">
        <f t="shared" si="1"/>
        <v>High</v>
      </c>
    </row>
    <row r="52" spans="1:11" x14ac:dyDescent="0.3">
      <c r="A52" s="10" t="s">
        <v>171</v>
      </c>
      <c r="B52" s="10" t="s">
        <v>124</v>
      </c>
      <c r="C52" s="10" t="s">
        <v>119</v>
      </c>
      <c r="D52" s="11">
        <v>19</v>
      </c>
      <c r="E52" s="12">
        <v>6.5</v>
      </c>
      <c r="F52" s="12">
        <v>90.5</v>
      </c>
      <c r="G52" s="12">
        <v>5.7</v>
      </c>
      <c r="H52" s="12">
        <v>55.4</v>
      </c>
      <c r="I52" s="12">
        <v>65.599999999999994</v>
      </c>
      <c r="J52" s="12">
        <v>78</v>
      </c>
      <c r="K52" s="10" t="str">
        <f t="shared" si="1"/>
        <v>High</v>
      </c>
    </row>
    <row r="53" spans="1:11" x14ac:dyDescent="0.3">
      <c r="A53" s="10" t="s">
        <v>172</v>
      </c>
      <c r="B53" s="10" t="s">
        <v>124</v>
      </c>
      <c r="C53" s="10" t="s">
        <v>122</v>
      </c>
      <c r="D53" s="11">
        <v>19</v>
      </c>
      <c r="E53" s="12">
        <v>9.1</v>
      </c>
      <c r="F53" s="12">
        <v>98.4</v>
      </c>
      <c r="G53" s="12">
        <v>7.5</v>
      </c>
      <c r="H53" s="12">
        <v>73.7</v>
      </c>
      <c r="I53" s="12">
        <v>96.5</v>
      </c>
      <c r="J53" s="12">
        <v>99</v>
      </c>
      <c r="K53" s="10" t="str">
        <f t="shared" si="1"/>
        <v>High</v>
      </c>
    </row>
    <row r="54" spans="1:11" x14ac:dyDescent="0.3">
      <c r="A54" s="10" t="s">
        <v>173</v>
      </c>
      <c r="B54" s="10" t="s">
        <v>124</v>
      </c>
      <c r="C54" s="10" t="s">
        <v>119</v>
      </c>
      <c r="D54" s="11">
        <v>24</v>
      </c>
      <c r="E54" s="12">
        <v>7.6</v>
      </c>
      <c r="F54" s="12">
        <v>85.1</v>
      </c>
      <c r="G54" s="12">
        <v>6.7</v>
      </c>
      <c r="H54" s="12">
        <v>74.8</v>
      </c>
      <c r="I54" s="12">
        <v>87.2</v>
      </c>
      <c r="J54" s="12">
        <v>80.7</v>
      </c>
      <c r="K54" s="10" t="str">
        <f t="shared" si="1"/>
        <v>Medium</v>
      </c>
    </row>
    <row r="55" spans="1:11" x14ac:dyDescent="0.3">
      <c r="A55" s="10" t="s">
        <v>174</v>
      </c>
      <c r="B55" s="10" t="s">
        <v>118</v>
      </c>
      <c r="C55" s="10" t="s">
        <v>119</v>
      </c>
      <c r="D55" s="11">
        <v>26</v>
      </c>
      <c r="E55" s="12">
        <v>5</v>
      </c>
      <c r="F55" s="12">
        <v>90.4</v>
      </c>
      <c r="G55" s="12">
        <v>6.2</v>
      </c>
      <c r="H55" s="12">
        <v>56.3</v>
      </c>
      <c r="I55" s="12">
        <v>70.900000000000006</v>
      </c>
      <c r="J55" s="12">
        <v>81.599999999999994</v>
      </c>
      <c r="K55" s="10" t="str">
        <f t="shared" si="1"/>
        <v>High</v>
      </c>
    </row>
    <row r="56" spans="1:11" x14ac:dyDescent="0.3">
      <c r="A56" s="10" t="s">
        <v>175</v>
      </c>
      <c r="B56" s="10" t="s">
        <v>118</v>
      </c>
      <c r="C56" s="10" t="s">
        <v>122</v>
      </c>
      <c r="D56" s="11">
        <v>19</v>
      </c>
      <c r="E56" s="12">
        <v>8.3000000000000007</v>
      </c>
      <c r="F56" s="12">
        <v>76.8</v>
      </c>
      <c r="G56" s="12">
        <v>6.9</v>
      </c>
      <c r="H56" s="12">
        <v>77.7</v>
      </c>
      <c r="I56" s="12">
        <v>98</v>
      </c>
      <c r="J56" s="12">
        <v>90.3</v>
      </c>
      <c r="K56" s="10" t="str">
        <f t="shared" si="1"/>
        <v>Medium</v>
      </c>
    </row>
    <row r="57" spans="1:11" x14ac:dyDescent="0.3">
      <c r="A57" s="10" t="s">
        <v>176</v>
      </c>
      <c r="B57" s="10" t="s">
        <v>124</v>
      </c>
      <c r="C57" s="10" t="s">
        <v>119</v>
      </c>
      <c r="D57" s="11">
        <v>21</v>
      </c>
      <c r="E57" s="12">
        <v>6.3</v>
      </c>
      <c r="F57" s="12">
        <v>85.8</v>
      </c>
      <c r="G57" s="12">
        <v>7.9</v>
      </c>
      <c r="H57" s="12">
        <v>60.8</v>
      </c>
      <c r="I57" s="12">
        <v>72.900000000000006</v>
      </c>
      <c r="J57" s="12">
        <v>75.2</v>
      </c>
      <c r="K57" s="10" t="str">
        <f t="shared" si="1"/>
        <v>Medium</v>
      </c>
    </row>
    <row r="58" spans="1:11" x14ac:dyDescent="0.3">
      <c r="A58" s="10" t="s">
        <v>177</v>
      </c>
      <c r="B58" s="10" t="s">
        <v>124</v>
      </c>
      <c r="C58" s="10" t="s">
        <v>122</v>
      </c>
      <c r="D58" s="11">
        <v>22</v>
      </c>
      <c r="E58" s="12">
        <v>9.5</v>
      </c>
      <c r="F58" s="12">
        <v>87.3</v>
      </c>
      <c r="G58" s="12">
        <v>5.2</v>
      </c>
      <c r="H58" s="12">
        <v>73.900000000000006</v>
      </c>
      <c r="I58" s="12">
        <v>83.9</v>
      </c>
      <c r="J58" s="12">
        <v>86.8</v>
      </c>
      <c r="K58" s="10" t="str">
        <f t="shared" si="1"/>
        <v>Medium</v>
      </c>
    </row>
    <row r="59" spans="1:11" x14ac:dyDescent="0.3">
      <c r="A59" s="10" t="s">
        <v>178</v>
      </c>
      <c r="B59" s="10" t="s">
        <v>124</v>
      </c>
      <c r="C59" s="10" t="s">
        <v>119</v>
      </c>
      <c r="D59" s="11">
        <v>24</v>
      </c>
      <c r="E59" s="12">
        <v>5.6</v>
      </c>
      <c r="F59" s="12">
        <v>70.7</v>
      </c>
      <c r="G59" s="12">
        <v>5.8</v>
      </c>
      <c r="H59" s="12">
        <v>56.7</v>
      </c>
      <c r="I59" s="12">
        <v>66.400000000000006</v>
      </c>
      <c r="J59" s="12">
        <v>66.099999999999994</v>
      </c>
      <c r="K59" s="10" t="str">
        <f t="shared" si="1"/>
        <v>Low</v>
      </c>
    </row>
    <row r="60" spans="1:11" x14ac:dyDescent="0.3">
      <c r="A60" s="10" t="s">
        <v>179</v>
      </c>
      <c r="B60" s="10" t="s">
        <v>124</v>
      </c>
      <c r="C60" s="10" t="s">
        <v>122</v>
      </c>
      <c r="D60" s="11">
        <v>20</v>
      </c>
      <c r="E60" s="12">
        <v>5.3</v>
      </c>
      <c r="F60" s="12">
        <v>63.9</v>
      </c>
      <c r="G60" s="12">
        <v>6.3</v>
      </c>
      <c r="H60" s="12">
        <v>58.8</v>
      </c>
      <c r="I60" s="12">
        <v>68.099999999999994</v>
      </c>
      <c r="J60" s="12">
        <v>66.2</v>
      </c>
      <c r="K60" s="10" t="str">
        <f t="shared" si="1"/>
        <v>Low</v>
      </c>
    </row>
    <row r="61" spans="1:11" x14ac:dyDescent="0.3">
      <c r="A61" s="10" t="s">
        <v>180</v>
      </c>
      <c r="B61" s="10" t="s">
        <v>118</v>
      </c>
      <c r="C61" s="10" t="s">
        <v>119</v>
      </c>
      <c r="D61" s="11">
        <v>21</v>
      </c>
      <c r="E61" s="12">
        <v>9.3000000000000007</v>
      </c>
      <c r="F61" s="12">
        <v>98.8</v>
      </c>
      <c r="G61" s="12">
        <v>8.1999999999999993</v>
      </c>
      <c r="H61" s="12">
        <v>67.7</v>
      </c>
      <c r="I61" s="12">
        <v>79</v>
      </c>
      <c r="J61" s="12">
        <v>90.2</v>
      </c>
      <c r="K61" s="10" t="str">
        <f t="shared" si="1"/>
        <v>High</v>
      </c>
    </row>
    <row r="62" spans="1:11" x14ac:dyDescent="0.3">
      <c r="A62" s="10" t="s">
        <v>181</v>
      </c>
      <c r="B62" s="10" t="s">
        <v>124</v>
      </c>
      <c r="C62" s="10" t="s">
        <v>122</v>
      </c>
      <c r="D62" s="11">
        <v>22</v>
      </c>
      <c r="E62" s="12">
        <v>8.1</v>
      </c>
      <c r="F62" s="12">
        <v>75.8</v>
      </c>
      <c r="G62" s="12">
        <v>7.2</v>
      </c>
      <c r="H62" s="12">
        <v>82</v>
      </c>
      <c r="I62" s="12">
        <v>93.1</v>
      </c>
      <c r="J62" s="12">
        <v>79.8</v>
      </c>
      <c r="K62" s="10" t="str">
        <f t="shared" si="1"/>
        <v>Medium</v>
      </c>
    </row>
    <row r="63" spans="1:11" x14ac:dyDescent="0.3">
      <c r="A63" s="10" t="s">
        <v>182</v>
      </c>
      <c r="B63" s="10" t="s">
        <v>118</v>
      </c>
      <c r="C63" s="10" t="s">
        <v>122</v>
      </c>
      <c r="D63" s="11">
        <v>22</v>
      </c>
      <c r="E63" s="12">
        <v>8.8000000000000007</v>
      </c>
      <c r="F63" s="12">
        <v>90.4</v>
      </c>
      <c r="G63" s="12">
        <v>7.6</v>
      </c>
      <c r="H63" s="12">
        <v>70.5</v>
      </c>
      <c r="I63" s="12">
        <v>83.2</v>
      </c>
      <c r="J63" s="12">
        <v>82.1</v>
      </c>
      <c r="K63" s="10" t="str">
        <f t="shared" si="1"/>
        <v>High</v>
      </c>
    </row>
    <row r="64" spans="1:11" x14ac:dyDescent="0.3">
      <c r="A64" s="10" t="s">
        <v>183</v>
      </c>
      <c r="B64" s="10" t="s">
        <v>124</v>
      </c>
      <c r="C64" s="10" t="s">
        <v>122</v>
      </c>
      <c r="D64" s="11">
        <v>21</v>
      </c>
      <c r="E64" s="12">
        <v>4.8</v>
      </c>
      <c r="F64" s="12">
        <v>96.4</v>
      </c>
      <c r="G64" s="12">
        <v>6.1</v>
      </c>
      <c r="H64" s="12">
        <v>51.5</v>
      </c>
      <c r="I64" s="12">
        <v>66.400000000000006</v>
      </c>
      <c r="J64" s="12">
        <v>71.7</v>
      </c>
      <c r="K64" s="10" t="str">
        <f t="shared" si="1"/>
        <v>High</v>
      </c>
    </row>
    <row r="65" spans="1:11" x14ac:dyDescent="0.3">
      <c r="A65" s="10" t="s">
        <v>184</v>
      </c>
      <c r="B65" s="10" t="s">
        <v>118</v>
      </c>
      <c r="C65" s="10" t="s">
        <v>119</v>
      </c>
      <c r="D65" s="11">
        <v>21</v>
      </c>
      <c r="E65" s="12">
        <v>8.4</v>
      </c>
      <c r="F65" s="12">
        <v>76.3</v>
      </c>
      <c r="G65" s="12">
        <v>6.1</v>
      </c>
      <c r="H65" s="12">
        <v>69.3</v>
      </c>
      <c r="I65" s="12">
        <v>83.7</v>
      </c>
      <c r="J65" s="12">
        <v>81.8</v>
      </c>
      <c r="K65" s="10" t="str">
        <f t="shared" si="1"/>
        <v>Medium</v>
      </c>
    </row>
    <row r="66" spans="1:11" x14ac:dyDescent="0.3">
      <c r="A66" s="10" t="s">
        <v>185</v>
      </c>
      <c r="B66" s="10" t="s">
        <v>124</v>
      </c>
      <c r="C66" s="10" t="s">
        <v>119</v>
      </c>
      <c r="D66" s="11">
        <v>19</v>
      </c>
      <c r="E66" s="12">
        <v>5</v>
      </c>
      <c r="F66" s="12">
        <v>74.2</v>
      </c>
      <c r="G66" s="12">
        <v>7.4</v>
      </c>
      <c r="H66" s="12">
        <v>56</v>
      </c>
      <c r="I66" s="12">
        <v>64.900000000000006</v>
      </c>
      <c r="J66" s="12">
        <v>64.599999999999994</v>
      </c>
      <c r="K66" s="10" t="str">
        <f t="shared" ref="K66:K97" si="2">IF(F66&lt;75,"Low",IF(F66&lt;90,"Medium","High"))</f>
        <v>Low</v>
      </c>
    </row>
    <row r="67" spans="1:11" x14ac:dyDescent="0.3">
      <c r="A67" s="10" t="s">
        <v>186</v>
      </c>
      <c r="B67" s="10" t="s">
        <v>118</v>
      </c>
      <c r="C67" s="10" t="s">
        <v>122</v>
      </c>
      <c r="D67" s="11">
        <v>21</v>
      </c>
      <c r="E67" s="12">
        <v>8.3000000000000007</v>
      </c>
      <c r="F67" s="12">
        <v>86.4</v>
      </c>
      <c r="G67" s="12">
        <v>7</v>
      </c>
      <c r="H67" s="12">
        <v>58.6</v>
      </c>
      <c r="I67" s="12">
        <v>73.099999999999994</v>
      </c>
      <c r="J67" s="12">
        <v>81</v>
      </c>
      <c r="K67" s="10" t="str">
        <f t="shared" si="2"/>
        <v>Medium</v>
      </c>
    </row>
    <row r="68" spans="1:11" x14ac:dyDescent="0.3">
      <c r="A68" s="10" t="s">
        <v>187</v>
      </c>
      <c r="B68" s="10" t="s">
        <v>124</v>
      </c>
      <c r="C68" s="10" t="s">
        <v>122</v>
      </c>
      <c r="D68" s="11">
        <v>21</v>
      </c>
      <c r="E68" s="12">
        <v>4.7</v>
      </c>
      <c r="F68" s="12">
        <v>83.3</v>
      </c>
      <c r="G68" s="12">
        <v>7.4</v>
      </c>
      <c r="H68" s="12">
        <v>65.900000000000006</v>
      </c>
      <c r="I68" s="12">
        <v>77.099999999999994</v>
      </c>
      <c r="J68" s="12">
        <v>79</v>
      </c>
      <c r="K68" s="10" t="str">
        <f t="shared" si="2"/>
        <v>Medium</v>
      </c>
    </row>
    <row r="69" spans="1:11" x14ac:dyDescent="0.3">
      <c r="A69" s="10" t="s">
        <v>188</v>
      </c>
      <c r="B69" s="10" t="s">
        <v>124</v>
      </c>
      <c r="C69" s="10" t="s">
        <v>122</v>
      </c>
      <c r="D69" s="11">
        <v>22</v>
      </c>
      <c r="E69" s="12">
        <v>7.5</v>
      </c>
      <c r="F69" s="12">
        <v>73.7</v>
      </c>
      <c r="G69" s="12">
        <v>6.8</v>
      </c>
      <c r="H69" s="12">
        <v>60.4</v>
      </c>
      <c r="I69" s="12">
        <v>74.3</v>
      </c>
      <c r="J69" s="12">
        <v>74</v>
      </c>
      <c r="K69" s="10" t="str">
        <f t="shared" si="2"/>
        <v>Low</v>
      </c>
    </row>
    <row r="70" spans="1:11" x14ac:dyDescent="0.3">
      <c r="A70" s="10" t="s">
        <v>189</v>
      </c>
      <c r="B70" s="10" t="s">
        <v>124</v>
      </c>
      <c r="C70" s="10" t="s">
        <v>122</v>
      </c>
      <c r="D70" s="11">
        <v>20</v>
      </c>
      <c r="E70" s="12">
        <v>5.8</v>
      </c>
      <c r="F70" s="12">
        <v>83.4</v>
      </c>
      <c r="G70" s="12">
        <v>7.2</v>
      </c>
      <c r="H70" s="12">
        <v>61.5</v>
      </c>
      <c r="I70" s="12">
        <v>68.8</v>
      </c>
      <c r="J70" s="12">
        <v>70.5</v>
      </c>
      <c r="K70" s="10" t="str">
        <f t="shared" si="2"/>
        <v>Medium</v>
      </c>
    </row>
    <row r="71" spans="1:11" x14ac:dyDescent="0.3">
      <c r="A71" s="10" t="s">
        <v>190</v>
      </c>
      <c r="B71" s="10" t="s">
        <v>124</v>
      </c>
      <c r="C71" s="10" t="s">
        <v>122</v>
      </c>
      <c r="D71" s="11">
        <v>22</v>
      </c>
      <c r="E71" s="12">
        <v>5</v>
      </c>
      <c r="F71" s="12">
        <v>84.4</v>
      </c>
      <c r="G71" s="12">
        <v>7.1</v>
      </c>
      <c r="H71" s="12">
        <v>58.6</v>
      </c>
      <c r="I71" s="12">
        <v>65.3</v>
      </c>
      <c r="J71" s="12">
        <v>77.5</v>
      </c>
      <c r="K71" s="10" t="str">
        <f t="shared" si="2"/>
        <v>Medium</v>
      </c>
    </row>
    <row r="72" spans="1:11" x14ac:dyDescent="0.3">
      <c r="A72" s="10" t="s">
        <v>191</v>
      </c>
      <c r="B72" s="10" t="s">
        <v>124</v>
      </c>
      <c r="C72" s="10" t="s">
        <v>122</v>
      </c>
      <c r="D72" s="11">
        <v>23</v>
      </c>
      <c r="E72" s="12">
        <v>8.6999999999999993</v>
      </c>
      <c r="F72" s="12">
        <v>91.3</v>
      </c>
      <c r="G72" s="12">
        <v>7.6</v>
      </c>
      <c r="H72" s="12">
        <v>64.8</v>
      </c>
      <c r="I72" s="12">
        <v>82.5</v>
      </c>
      <c r="J72" s="12">
        <v>91.1</v>
      </c>
      <c r="K72" s="10" t="str">
        <f t="shared" si="2"/>
        <v>High</v>
      </c>
    </row>
    <row r="73" spans="1:11" x14ac:dyDescent="0.3">
      <c r="A73" s="10" t="s">
        <v>192</v>
      </c>
      <c r="B73" s="10" t="s">
        <v>118</v>
      </c>
      <c r="C73" s="10" t="s">
        <v>119</v>
      </c>
      <c r="D73" s="11">
        <v>21</v>
      </c>
      <c r="E73" s="12">
        <v>8</v>
      </c>
      <c r="F73" s="12">
        <v>80.900000000000006</v>
      </c>
      <c r="G73" s="12">
        <v>7.6</v>
      </c>
      <c r="H73" s="12">
        <v>66.400000000000006</v>
      </c>
      <c r="I73" s="12">
        <v>79.2</v>
      </c>
      <c r="J73" s="12">
        <v>86.9</v>
      </c>
      <c r="K73" s="10" t="str">
        <f t="shared" si="2"/>
        <v>Medium</v>
      </c>
    </row>
    <row r="74" spans="1:11" x14ac:dyDescent="0.3">
      <c r="A74" s="10" t="s">
        <v>193</v>
      </c>
      <c r="B74" s="10" t="s">
        <v>124</v>
      </c>
      <c r="C74" s="10" t="s">
        <v>119</v>
      </c>
      <c r="D74" s="11">
        <v>22</v>
      </c>
      <c r="E74" s="12">
        <v>5.8</v>
      </c>
      <c r="F74" s="12">
        <v>76.7</v>
      </c>
      <c r="G74" s="12">
        <v>5.7</v>
      </c>
      <c r="H74" s="12">
        <v>42</v>
      </c>
      <c r="I74" s="12">
        <v>47.3</v>
      </c>
      <c r="J74" s="12">
        <v>64.400000000000006</v>
      </c>
      <c r="K74" s="10" t="str">
        <f t="shared" si="2"/>
        <v>Medium</v>
      </c>
    </row>
    <row r="75" spans="1:11" x14ac:dyDescent="0.3">
      <c r="A75" s="10" t="s">
        <v>194</v>
      </c>
      <c r="B75" s="10" t="s">
        <v>118</v>
      </c>
      <c r="C75" s="10" t="s">
        <v>122</v>
      </c>
      <c r="D75" s="11">
        <v>21</v>
      </c>
      <c r="E75" s="12">
        <v>10</v>
      </c>
      <c r="F75" s="12">
        <v>79</v>
      </c>
      <c r="G75" s="12">
        <v>5.2</v>
      </c>
      <c r="H75" s="12">
        <v>67.099999999999994</v>
      </c>
      <c r="I75" s="12">
        <v>84.3</v>
      </c>
      <c r="J75" s="12">
        <v>90.3</v>
      </c>
      <c r="K75" s="10" t="str">
        <f t="shared" si="2"/>
        <v>Medium</v>
      </c>
    </row>
    <row r="76" spans="1:11" x14ac:dyDescent="0.3">
      <c r="A76" s="10" t="s">
        <v>195</v>
      </c>
      <c r="B76" s="10" t="s">
        <v>124</v>
      </c>
      <c r="C76" s="10" t="s">
        <v>119</v>
      </c>
      <c r="D76" s="11">
        <v>21</v>
      </c>
      <c r="E76" s="12">
        <v>6.3</v>
      </c>
      <c r="F76" s="12">
        <v>81.2</v>
      </c>
      <c r="G76" s="12">
        <v>7.8</v>
      </c>
      <c r="H76" s="12">
        <v>52.5</v>
      </c>
      <c r="I76" s="12">
        <v>65.5</v>
      </c>
      <c r="J76" s="12">
        <v>76</v>
      </c>
      <c r="K76" s="10" t="str">
        <f t="shared" si="2"/>
        <v>Medium</v>
      </c>
    </row>
    <row r="77" spans="1:11" x14ac:dyDescent="0.3">
      <c r="A77" s="10" t="s">
        <v>196</v>
      </c>
      <c r="B77" s="10" t="s">
        <v>118</v>
      </c>
      <c r="C77" s="10" t="s">
        <v>122</v>
      </c>
      <c r="D77" s="11">
        <v>20</v>
      </c>
      <c r="E77" s="12">
        <v>8.3000000000000007</v>
      </c>
      <c r="F77" s="12">
        <v>95.7</v>
      </c>
      <c r="G77" s="12">
        <v>8</v>
      </c>
      <c r="H77" s="12">
        <v>52.2</v>
      </c>
      <c r="I77" s="12">
        <v>62</v>
      </c>
      <c r="J77" s="12">
        <v>84.4</v>
      </c>
      <c r="K77" s="10" t="str">
        <f t="shared" si="2"/>
        <v>High</v>
      </c>
    </row>
    <row r="78" spans="1:11" x14ac:dyDescent="0.3">
      <c r="A78" s="10" t="s">
        <v>197</v>
      </c>
      <c r="B78" s="10" t="s">
        <v>124</v>
      </c>
      <c r="C78" s="10" t="s">
        <v>119</v>
      </c>
      <c r="D78" s="11">
        <v>22</v>
      </c>
      <c r="E78" s="12">
        <v>7.5</v>
      </c>
      <c r="F78" s="12">
        <v>80.900000000000006</v>
      </c>
      <c r="G78" s="12">
        <v>6.2</v>
      </c>
      <c r="H78" s="12">
        <v>59</v>
      </c>
      <c r="I78" s="12">
        <v>71.900000000000006</v>
      </c>
      <c r="J78" s="12">
        <v>76.3</v>
      </c>
      <c r="K78" s="10" t="str">
        <f t="shared" si="2"/>
        <v>Medium</v>
      </c>
    </row>
    <row r="79" spans="1:11" x14ac:dyDescent="0.3">
      <c r="A79" s="10" t="s">
        <v>198</v>
      </c>
      <c r="B79" s="10" t="s">
        <v>118</v>
      </c>
      <c r="C79" s="10" t="s">
        <v>122</v>
      </c>
      <c r="D79" s="11">
        <v>21</v>
      </c>
      <c r="E79" s="12">
        <v>6.7</v>
      </c>
      <c r="F79" s="12">
        <v>83.5</v>
      </c>
      <c r="G79" s="12">
        <v>5.5</v>
      </c>
      <c r="H79" s="12">
        <v>60.1</v>
      </c>
      <c r="I79" s="12">
        <v>76.599999999999994</v>
      </c>
      <c r="J79" s="12">
        <v>79</v>
      </c>
      <c r="K79" s="10" t="str">
        <f t="shared" si="2"/>
        <v>Medium</v>
      </c>
    </row>
    <row r="80" spans="1:11" x14ac:dyDescent="0.3">
      <c r="A80" s="10" t="s">
        <v>199</v>
      </c>
      <c r="B80" s="10" t="s">
        <v>124</v>
      </c>
      <c r="C80" s="10" t="s">
        <v>119</v>
      </c>
      <c r="D80" s="11">
        <v>25</v>
      </c>
      <c r="E80" s="12">
        <v>7.6</v>
      </c>
      <c r="F80" s="12">
        <v>75.5</v>
      </c>
      <c r="G80" s="12">
        <v>7.1</v>
      </c>
      <c r="H80" s="12">
        <v>55.1</v>
      </c>
      <c r="I80" s="12">
        <v>68.2</v>
      </c>
      <c r="J80" s="12">
        <v>65.5</v>
      </c>
      <c r="K80" s="10" t="str">
        <f t="shared" si="2"/>
        <v>Medium</v>
      </c>
    </row>
    <row r="81" spans="1:11" x14ac:dyDescent="0.3">
      <c r="A81" s="10" t="s">
        <v>200</v>
      </c>
      <c r="B81" s="10" t="s">
        <v>124</v>
      </c>
      <c r="C81" s="10" t="s">
        <v>119</v>
      </c>
      <c r="D81" s="11">
        <v>24</v>
      </c>
      <c r="E81" s="12">
        <v>6.2</v>
      </c>
      <c r="F81" s="12">
        <v>81.900000000000006</v>
      </c>
      <c r="G81" s="12">
        <v>7.7</v>
      </c>
      <c r="H81" s="12">
        <v>66.8</v>
      </c>
      <c r="I81" s="12">
        <v>80.5</v>
      </c>
      <c r="J81" s="12">
        <v>81.5</v>
      </c>
      <c r="K81" s="10" t="str">
        <f t="shared" si="2"/>
        <v>Medium</v>
      </c>
    </row>
    <row r="82" spans="1:11" x14ac:dyDescent="0.3">
      <c r="A82" s="10" t="s">
        <v>201</v>
      </c>
      <c r="B82" s="10" t="s">
        <v>118</v>
      </c>
      <c r="C82" s="10" t="s">
        <v>119</v>
      </c>
      <c r="D82" s="11">
        <v>22</v>
      </c>
      <c r="E82" s="12">
        <v>7</v>
      </c>
      <c r="F82" s="12">
        <v>83.3</v>
      </c>
      <c r="G82" s="12">
        <v>8.4</v>
      </c>
      <c r="H82" s="12">
        <v>52.4</v>
      </c>
      <c r="I82" s="12">
        <v>60.9</v>
      </c>
      <c r="J82" s="12">
        <v>69.8</v>
      </c>
      <c r="K82" s="10" t="str">
        <f t="shared" si="2"/>
        <v>Medium</v>
      </c>
    </row>
    <row r="83" spans="1:11" x14ac:dyDescent="0.3">
      <c r="A83" s="10" t="s">
        <v>202</v>
      </c>
      <c r="B83" s="10" t="s">
        <v>118</v>
      </c>
      <c r="C83" s="10" t="s">
        <v>122</v>
      </c>
      <c r="D83" s="11">
        <v>20</v>
      </c>
      <c r="E83" s="12">
        <v>10.1</v>
      </c>
      <c r="F83" s="12">
        <v>85.2</v>
      </c>
      <c r="G83" s="12">
        <v>7.4</v>
      </c>
      <c r="H83" s="12">
        <v>61.2</v>
      </c>
      <c r="I83" s="12">
        <v>78.5</v>
      </c>
      <c r="J83" s="12">
        <v>81.400000000000006</v>
      </c>
      <c r="K83" s="10" t="str">
        <f t="shared" si="2"/>
        <v>Medium</v>
      </c>
    </row>
    <row r="84" spans="1:11" x14ac:dyDescent="0.3">
      <c r="A84" s="10" t="s">
        <v>203</v>
      </c>
      <c r="B84" s="10" t="s">
        <v>124</v>
      </c>
      <c r="C84" s="10" t="s">
        <v>119</v>
      </c>
      <c r="D84" s="11">
        <v>19</v>
      </c>
      <c r="E84" s="12">
        <v>5.4</v>
      </c>
      <c r="F84" s="12">
        <v>84.5</v>
      </c>
      <c r="G84" s="12">
        <v>6.7</v>
      </c>
      <c r="H84" s="12">
        <v>53.7</v>
      </c>
      <c r="I84" s="12">
        <v>63.5</v>
      </c>
      <c r="J84" s="12">
        <v>75.3</v>
      </c>
      <c r="K84" s="10" t="str">
        <f t="shared" si="2"/>
        <v>Medium</v>
      </c>
    </row>
    <row r="85" spans="1:11" x14ac:dyDescent="0.3">
      <c r="A85" s="10" t="s">
        <v>204</v>
      </c>
      <c r="B85" s="10" t="s">
        <v>118</v>
      </c>
      <c r="C85" s="10" t="s">
        <v>122</v>
      </c>
      <c r="D85" s="11">
        <v>23</v>
      </c>
      <c r="E85" s="12">
        <v>3.8</v>
      </c>
      <c r="F85" s="12">
        <v>86.4</v>
      </c>
      <c r="G85" s="12">
        <v>6.3</v>
      </c>
      <c r="H85" s="12">
        <v>57.7</v>
      </c>
      <c r="I85" s="12">
        <v>67.900000000000006</v>
      </c>
      <c r="J85" s="12">
        <v>76.599999999999994</v>
      </c>
      <c r="K85" s="10" t="str">
        <f t="shared" si="2"/>
        <v>Medium</v>
      </c>
    </row>
    <row r="86" spans="1:11" x14ac:dyDescent="0.3">
      <c r="A86" s="10" t="s">
        <v>205</v>
      </c>
      <c r="B86" s="10" t="s">
        <v>124</v>
      </c>
      <c r="C86" s="10" t="s">
        <v>122</v>
      </c>
      <c r="D86" s="11">
        <v>22</v>
      </c>
      <c r="E86" s="12">
        <v>9.8000000000000007</v>
      </c>
      <c r="F86" s="12">
        <v>81.3</v>
      </c>
      <c r="G86" s="12">
        <v>7</v>
      </c>
      <c r="H86" s="12">
        <v>64.5</v>
      </c>
      <c r="I86" s="12">
        <v>81.400000000000006</v>
      </c>
      <c r="J86" s="12">
        <v>88.9</v>
      </c>
      <c r="K86" s="10" t="str">
        <f t="shared" si="2"/>
        <v>Medium</v>
      </c>
    </row>
    <row r="87" spans="1:11" x14ac:dyDescent="0.3">
      <c r="A87" s="10" t="s">
        <v>206</v>
      </c>
      <c r="B87" s="10" t="s">
        <v>118</v>
      </c>
      <c r="C87" s="10" t="s">
        <v>119</v>
      </c>
      <c r="D87" s="11">
        <v>22</v>
      </c>
      <c r="E87" s="12">
        <v>12.5</v>
      </c>
      <c r="F87" s="12">
        <v>93.2</v>
      </c>
      <c r="G87" s="12">
        <v>6.8</v>
      </c>
      <c r="H87" s="12">
        <v>57.6</v>
      </c>
      <c r="I87" s="12">
        <v>81.400000000000006</v>
      </c>
      <c r="J87" s="12">
        <v>87</v>
      </c>
      <c r="K87" s="10" t="str">
        <f t="shared" si="2"/>
        <v>High</v>
      </c>
    </row>
    <row r="88" spans="1:11" x14ac:dyDescent="0.3">
      <c r="A88" s="10" t="s">
        <v>207</v>
      </c>
      <c r="B88" s="10" t="s">
        <v>124</v>
      </c>
      <c r="C88" s="10" t="s">
        <v>122</v>
      </c>
      <c r="D88" s="11">
        <v>18</v>
      </c>
      <c r="E88" s="12">
        <v>6.5</v>
      </c>
      <c r="F88" s="12">
        <v>85.7</v>
      </c>
      <c r="G88" s="12">
        <v>6.2</v>
      </c>
      <c r="H88" s="12">
        <v>64.400000000000006</v>
      </c>
      <c r="I88" s="12">
        <v>82.9</v>
      </c>
      <c r="J88" s="12">
        <v>69.7</v>
      </c>
      <c r="K88" s="10" t="str">
        <f t="shared" si="2"/>
        <v>Medium</v>
      </c>
    </row>
    <row r="89" spans="1:11" x14ac:dyDescent="0.3">
      <c r="A89" s="10" t="s">
        <v>208</v>
      </c>
      <c r="B89" s="10" t="s">
        <v>118</v>
      </c>
      <c r="C89" s="10" t="s">
        <v>119</v>
      </c>
      <c r="D89" s="11">
        <v>23</v>
      </c>
      <c r="E89" s="12">
        <v>5</v>
      </c>
      <c r="F89" s="12">
        <v>98.3</v>
      </c>
      <c r="G89" s="12">
        <v>8.6</v>
      </c>
      <c r="H89" s="12">
        <v>62.3</v>
      </c>
      <c r="I89" s="12">
        <v>80.900000000000006</v>
      </c>
      <c r="J89" s="12">
        <v>81.7</v>
      </c>
      <c r="K89" s="10" t="str">
        <f t="shared" si="2"/>
        <v>High</v>
      </c>
    </row>
    <row r="90" spans="1:11" x14ac:dyDescent="0.3">
      <c r="A90" s="10" t="s">
        <v>209</v>
      </c>
      <c r="B90" s="10" t="s">
        <v>118</v>
      </c>
      <c r="C90" s="10" t="s">
        <v>119</v>
      </c>
      <c r="D90" s="11">
        <v>22</v>
      </c>
      <c r="E90" s="12">
        <v>7.2</v>
      </c>
      <c r="F90" s="12">
        <v>82.5</v>
      </c>
      <c r="G90" s="12">
        <v>8.4</v>
      </c>
      <c r="H90" s="12">
        <v>48.2</v>
      </c>
      <c r="I90" s="12">
        <v>61.7</v>
      </c>
      <c r="J90" s="12">
        <v>75.2</v>
      </c>
      <c r="K90" s="10" t="str">
        <f t="shared" si="2"/>
        <v>Medium</v>
      </c>
    </row>
    <row r="91" spans="1:11" x14ac:dyDescent="0.3">
      <c r="A91" s="10" t="s">
        <v>210</v>
      </c>
      <c r="B91" s="10" t="s">
        <v>124</v>
      </c>
      <c r="C91" s="10" t="s">
        <v>122</v>
      </c>
      <c r="D91" s="11">
        <v>19</v>
      </c>
      <c r="E91" s="12">
        <v>6.5</v>
      </c>
      <c r="F91" s="12">
        <v>79.599999999999994</v>
      </c>
      <c r="G91" s="12">
        <v>7.9</v>
      </c>
      <c r="H91" s="12">
        <v>45</v>
      </c>
      <c r="I91" s="12">
        <v>57.6</v>
      </c>
      <c r="J91" s="12">
        <v>66.5</v>
      </c>
      <c r="K91" s="10" t="str">
        <f t="shared" si="2"/>
        <v>Medium</v>
      </c>
    </row>
    <row r="92" spans="1:11" x14ac:dyDescent="0.3">
      <c r="A92" s="10" t="s">
        <v>211</v>
      </c>
      <c r="B92" s="10" t="s">
        <v>124</v>
      </c>
      <c r="C92" s="10" t="s">
        <v>119</v>
      </c>
      <c r="D92" s="11">
        <v>20</v>
      </c>
      <c r="E92" s="12">
        <v>7.3</v>
      </c>
      <c r="F92" s="12">
        <v>94.4</v>
      </c>
      <c r="G92" s="12">
        <v>6.3</v>
      </c>
      <c r="H92" s="12">
        <v>59.3</v>
      </c>
      <c r="I92" s="12">
        <v>75.099999999999994</v>
      </c>
      <c r="J92" s="12">
        <v>82.3</v>
      </c>
      <c r="K92" s="10" t="str">
        <f t="shared" si="2"/>
        <v>High</v>
      </c>
    </row>
    <row r="93" spans="1:11" x14ac:dyDescent="0.3">
      <c r="A93" s="10" t="s">
        <v>212</v>
      </c>
      <c r="B93" s="10" t="s">
        <v>118</v>
      </c>
      <c r="C93" s="10" t="s">
        <v>122</v>
      </c>
      <c r="D93" s="11">
        <v>22</v>
      </c>
      <c r="E93" s="12">
        <v>4.9000000000000004</v>
      </c>
      <c r="F93" s="12">
        <v>61</v>
      </c>
      <c r="G93" s="12">
        <v>7.7</v>
      </c>
      <c r="H93" s="12">
        <v>58.9</v>
      </c>
      <c r="I93" s="12">
        <v>70.3</v>
      </c>
      <c r="J93" s="12">
        <v>68.7</v>
      </c>
      <c r="K93" s="10" t="str">
        <f t="shared" si="2"/>
        <v>Low</v>
      </c>
    </row>
    <row r="94" spans="1:11" x14ac:dyDescent="0.3">
      <c r="A94" s="10" t="s">
        <v>213</v>
      </c>
      <c r="B94" s="10" t="s">
        <v>118</v>
      </c>
      <c r="C94" s="10" t="s">
        <v>122</v>
      </c>
      <c r="D94" s="11">
        <v>21</v>
      </c>
      <c r="E94" s="12">
        <v>9</v>
      </c>
      <c r="F94" s="12">
        <v>90.5</v>
      </c>
      <c r="G94" s="12">
        <v>7.5</v>
      </c>
      <c r="H94" s="12">
        <v>62.9</v>
      </c>
      <c r="I94" s="12">
        <v>79.099999999999994</v>
      </c>
      <c r="J94" s="12">
        <v>88</v>
      </c>
      <c r="K94" s="10" t="str">
        <f t="shared" si="2"/>
        <v>High</v>
      </c>
    </row>
    <row r="95" spans="1:11" x14ac:dyDescent="0.3">
      <c r="A95" s="10" t="s">
        <v>214</v>
      </c>
      <c r="B95" s="10" t="s">
        <v>118</v>
      </c>
      <c r="C95" s="10" t="s">
        <v>122</v>
      </c>
      <c r="D95" s="11">
        <v>21</v>
      </c>
      <c r="E95" s="12">
        <v>8.5</v>
      </c>
      <c r="F95" s="12">
        <v>79.8</v>
      </c>
      <c r="G95" s="12">
        <v>7.4</v>
      </c>
      <c r="H95" s="12">
        <v>63</v>
      </c>
      <c r="I95" s="12">
        <v>80.7</v>
      </c>
      <c r="J95" s="12">
        <v>77.599999999999994</v>
      </c>
      <c r="K95" s="10" t="str">
        <f t="shared" si="2"/>
        <v>Medium</v>
      </c>
    </row>
    <row r="96" spans="1:11" x14ac:dyDescent="0.3">
      <c r="A96" s="10" t="s">
        <v>215</v>
      </c>
      <c r="B96" s="10" t="s">
        <v>124</v>
      </c>
      <c r="C96" s="10" t="s">
        <v>119</v>
      </c>
      <c r="D96" s="11">
        <v>21</v>
      </c>
      <c r="E96" s="12">
        <v>3.8</v>
      </c>
      <c r="F96" s="12">
        <v>64.599999999999994</v>
      </c>
      <c r="G96" s="12">
        <v>8</v>
      </c>
      <c r="H96" s="12">
        <v>60.4</v>
      </c>
      <c r="I96" s="12">
        <v>68.7</v>
      </c>
      <c r="J96" s="12">
        <v>69.099999999999994</v>
      </c>
      <c r="K96" s="10" t="str">
        <f t="shared" si="2"/>
        <v>Low</v>
      </c>
    </row>
    <row r="97" spans="1:11" x14ac:dyDescent="0.3">
      <c r="A97" s="10" t="s">
        <v>216</v>
      </c>
      <c r="B97" s="10" t="s">
        <v>124</v>
      </c>
      <c r="C97" s="10" t="s">
        <v>122</v>
      </c>
      <c r="D97" s="11">
        <v>21</v>
      </c>
      <c r="E97" s="12">
        <v>8</v>
      </c>
      <c r="F97" s="12">
        <v>75.2</v>
      </c>
      <c r="G97" s="12">
        <v>7.5</v>
      </c>
      <c r="H97" s="12">
        <v>69</v>
      </c>
      <c r="I97" s="12">
        <v>78.2</v>
      </c>
      <c r="J97" s="12">
        <v>80.099999999999994</v>
      </c>
      <c r="K97" s="10" t="str">
        <f t="shared" si="2"/>
        <v>Medium</v>
      </c>
    </row>
    <row r="98" spans="1:11" x14ac:dyDescent="0.3">
      <c r="A98" s="10" t="s">
        <v>217</v>
      </c>
      <c r="B98" s="10" t="s">
        <v>124</v>
      </c>
      <c r="C98" s="10" t="s">
        <v>122</v>
      </c>
      <c r="D98" s="11">
        <v>21</v>
      </c>
      <c r="E98" s="12">
        <v>11.2</v>
      </c>
      <c r="F98" s="12">
        <v>97.7</v>
      </c>
      <c r="G98" s="12">
        <v>7.6</v>
      </c>
      <c r="H98" s="12">
        <v>55.2</v>
      </c>
      <c r="I98" s="12">
        <v>69.2</v>
      </c>
      <c r="J98" s="12">
        <v>79.2</v>
      </c>
      <c r="K98" s="10" t="str">
        <f t="shared" ref="K98:K121" si="3">IF(F98&lt;75,"Low",IF(F98&lt;90,"Medium","High"))</f>
        <v>High</v>
      </c>
    </row>
    <row r="99" spans="1:11" x14ac:dyDescent="0.3">
      <c r="A99" s="10" t="s">
        <v>218</v>
      </c>
      <c r="B99" s="10" t="s">
        <v>118</v>
      </c>
      <c r="C99" s="10" t="s">
        <v>122</v>
      </c>
      <c r="D99" s="11">
        <v>24</v>
      </c>
      <c r="E99" s="12">
        <v>7.8</v>
      </c>
      <c r="F99" s="12">
        <v>77.2</v>
      </c>
      <c r="G99" s="12">
        <v>7.5</v>
      </c>
      <c r="H99" s="12">
        <v>53.4</v>
      </c>
      <c r="I99" s="12">
        <v>69.8</v>
      </c>
      <c r="J99" s="12">
        <v>74.599999999999994</v>
      </c>
      <c r="K99" s="10" t="str">
        <f t="shared" si="3"/>
        <v>Medium</v>
      </c>
    </row>
    <row r="100" spans="1:11" x14ac:dyDescent="0.3">
      <c r="A100" s="10" t="s">
        <v>219</v>
      </c>
      <c r="B100" s="10" t="s">
        <v>118</v>
      </c>
      <c r="C100" s="10" t="s">
        <v>119</v>
      </c>
      <c r="D100" s="11">
        <v>18</v>
      </c>
      <c r="E100" s="12">
        <v>7.5</v>
      </c>
      <c r="F100" s="12">
        <v>91.1</v>
      </c>
      <c r="G100" s="12">
        <v>7.3</v>
      </c>
      <c r="H100" s="12">
        <v>53.5</v>
      </c>
      <c r="I100" s="12">
        <v>68.3</v>
      </c>
      <c r="J100" s="12">
        <v>77.5</v>
      </c>
      <c r="K100" s="10" t="str">
        <f t="shared" si="3"/>
        <v>High</v>
      </c>
    </row>
    <row r="101" spans="1:11" x14ac:dyDescent="0.3">
      <c r="A101" s="10" t="s">
        <v>220</v>
      </c>
      <c r="B101" s="10" t="s">
        <v>118</v>
      </c>
      <c r="C101" s="10" t="s">
        <v>119</v>
      </c>
      <c r="D101" s="11">
        <v>21</v>
      </c>
      <c r="E101" s="12">
        <v>7.7</v>
      </c>
      <c r="F101" s="12">
        <v>88.9</v>
      </c>
      <c r="G101" s="12">
        <v>5.6</v>
      </c>
      <c r="H101" s="12">
        <v>62.7</v>
      </c>
      <c r="I101" s="12">
        <v>78.7</v>
      </c>
      <c r="J101" s="12">
        <v>79.3</v>
      </c>
      <c r="K101" s="10" t="str">
        <f t="shared" si="3"/>
        <v>Medium</v>
      </c>
    </row>
    <row r="102" spans="1:11" x14ac:dyDescent="0.3">
      <c r="A102" s="10" t="s">
        <v>221</v>
      </c>
      <c r="B102" s="10" t="s">
        <v>124</v>
      </c>
      <c r="C102" s="10" t="s">
        <v>119</v>
      </c>
      <c r="D102" s="11">
        <v>21</v>
      </c>
      <c r="E102" s="12">
        <v>8.6999999999999993</v>
      </c>
      <c r="F102" s="12">
        <v>96.9</v>
      </c>
      <c r="G102" s="12">
        <v>7.1</v>
      </c>
      <c r="H102" s="12">
        <v>71.400000000000006</v>
      </c>
      <c r="I102" s="12">
        <v>87.9</v>
      </c>
      <c r="J102" s="12">
        <v>96.3</v>
      </c>
      <c r="K102" s="10" t="str">
        <f t="shared" si="3"/>
        <v>High</v>
      </c>
    </row>
    <row r="103" spans="1:11" x14ac:dyDescent="0.3">
      <c r="A103" s="10" t="s">
        <v>222</v>
      </c>
      <c r="B103" s="10" t="s">
        <v>118</v>
      </c>
      <c r="C103" s="10" t="s">
        <v>119</v>
      </c>
      <c r="D103" s="11">
        <v>22</v>
      </c>
      <c r="E103" s="12">
        <v>4.9000000000000004</v>
      </c>
      <c r="F103" s="12">
        <v>85</v>
      </c>
      <c r="G103" s="12">
        <v>6.6</v>
      </c>
      <c r="H103" s="12">
        <v>55.9</v>
      </c>
      <c r="I103" s="12">
        <v>67.099999999999994</v>
      </c>
      <c r="J103" s="12">
        <v>72.599999999999994</v>
      </c>
      <c r="K103" s="10" t="str">
        <f t="shared" si="3"/>
        <v>Medium</v>
      </c>
    </row>
    <row r="104" spans="1:11" x14ac:dyDescent="0.3">
      <c r="A104" s="10" t="s">
        <v>223</v>
      </c>
      <c r="B104" s="10" t="s">
        <v>124</v>
      </c>
      <c r="C104" s="10" t="s">
        <v>119</v>
      </c>
      <c r="D104" s="11">
        <v>21</v>
      </c>
      <c r="E104" s="12">
        <v>7.3</v>
      </c>
      <c r="F104" s="12">
        <v>80.599999999999994</v>
      </c>
      <c r="G104" s="12">
        <v>6</v>
      </c>
      <c r="H104" s="12">
        <v>40</v>
      </c>
      <c r="I104" s="12">
        <v>54.8</v>
      </c>
      <c r="J104" s="12">
        <v>60.8</v>
      </c>
      <c r="K104" s="10" t="str">
        <f t="shared" si="3"/>
        <v>Medium</v>
      </c>
    </row>
    <row r="105" spans="1:11" x14ac:dyDescent="0.3">
      <c r="A105" s="10" t="s">
        <v>224</v>
      </c>
      <c r="B105" s="10" t="s">
        <v>118</v>
      </c>
      <c r="C105" s="10" t="s">
        <v>122</v>
      </c>
      <c r="D105" s="11">
        <v>18</v>
      </c>
      <c r="E105" s="12">
        <v>7.3</v>
      </c>
      <c r="F105" s="12">
        <v>90.1</v>
      </c>
      <c r="G105" s="12">
        <v>8.3000000000000007</v>
      </c>
      <c r="H105" s="12">
        <v>49.7</v>
      </c>
      <c r="I105" s="12">
        <v>65.7</v>
      </c>
      <c r="J105" s="12">
        <v>66.400000000000006</v>
      </c>
      <c r="K105" s="10" t="str">
        <f t="shared" si="3"/>
        <v>High</v>
      </c>
    </row>
    <row r="106" spans="1:11" x14ac:dyDescent="0.3">
      <c r="A106" s="10" t="s">
        <v>225</v>
      </c>
      <c r="B106" s="10" t="s">
        <v>118</v>
      </c>
      <c r="C106" s="10" t="s">
        <v>122</v>
      </c>
      <c r="D106" s="11">
        <v>22</v>
      </c>
      <c r="E106" s="12">
        <v>10.8</v>
      </c>
      <c r="F106" s="12">
        <v>82.6</v>
      </c>
      <c r="G106" s="12">
        <v>8.4</v>
      </c>
      <c r="H106" s="12">
        <v>59.6</v>
      </c>
      <c r="I106" s="12">
        <v>71.2</v>
      </c>
      <c r="J106" s="12">
        <v>82</v>
      </c>
      <c r="K106" s="10" t="str">
        <f t="shared" si="3"/>
        <v>Medium</v>
      </c>
    </row>
    <row r="107" spans="1:11" x14ac:dyDescent="0.3">
      <c r="A107" s="10" t="s">
        <v>226</v>
      </c>
      <c r="B107" s="10" t="s">
        <v>118</v>
      </c>
      <c r="C107" s="10" t="s">
        <v>119</v>
      </c>
      <c r="D107" s="11">
        <v>24</v>
      </c>
      <c r="E107" s="12">
        <v>7.2</v>
      </c>
      <c r="F107" s="12">
        <v>77.400000000000006</v>
      </c>
      <c r="G107" s="12">
        <v>8.1</v>
      </c>
      <c r="H107" s="12">
        <v>58.5</v>
      </c>
      <c r="I107" s="12">
        <v>77.599999999999994</v>
      </c>
      <c r="J107" s="12">
        <v>77.3</v>
      </c>
      <c r="K107" s="10" t="str">
        <f t="shared" si="3"/>
        <v>Medium</v>
      </c>
    </row>
    <row r="108" spans="1:11" x14ac:dyDescent="0.3">
      <c r="A108" s="10" t="s">
        <v>227</v>
      </c>
      <c r="B108" s="10" t="s">
        <v>118</v>
      </c>
      <c r="C108" s="10" t="s">
        <v>119</v>
      </c>
      <c r="D108" s="11">
        <v>19</v>
      </c>
      <c r="E108" s="12">
        <v>11.2</v>
      </c>
      <c r="F108" s="12">
        <v>98.9</v>
      </c>
      <c r="G108" s="12">
        <v>7.2</v>
      </c>
      <c r="H108" s="12">
        <v>61.8</v>
      </c>
      <c r="I108" s="12">
        <v>77.599999999999994</v>
      </c>
      <c r="J108" s="12">
        <v>87.1</v>
      </c>
      <c r="K108" s="10" t="str">
        <f t="shared" si="3"/>
        <v>High</v>
      </c>
    </row>
    <row r="109" spans="1:11" x14ac:dyDescent="0.3">
      <c r="A109" s="10" t="s">
        <v>228</v>
      </c>
      <c r="B109" s="10" t="s">
        <v>124</v>
      </c>
      <c r="C109" s="10" t="s">
        <v>122</v>
      </c>
      <c r="D109" s="11">
        <v>23</v>
      </c>
      <c r="E109" s="12">
        <v>5.4</v>
      </c>
      <c r="F109" s="12">
        <v>87.2</v>
      </c>
      <c r="G109" s="12">
        <v>8.1</v>
      </c>
      <c r="H109" s="12">
        <v>60.3</v>
      </c>
      <c r="I109" s="12">
        <v>65.099999999999994</v>
      </c>
      <c r="J109" s="12">
        <v>82.1</v>
      </c>
      <c r="K109" s="10" t="str">
        <f t="shared" si="3"/>
        <v>Medium</v>
      </c>
    </row>
    <row r="110" spans="1:11" x14ac:dyDescent="0.3">
      <c r="A110" s="10" t="s">
        <v>229</v>
      </c>
      <c r="B110" s="10" t="s">
        <v>118</v>
      </c>
      <c r="C110" s="10" t="s">
        <v>122</v>
      </c>
      <c r="D110" s="11">
        <v>21</v>
      </c>
      <c r="E110" s="12">
        <v>9.1</v>
      </c>
      <c r="F110" s="12">
        <v>91.3</v>
      </c>
      <c r="G110" s="12">
        <v>7</v>
      </c>
      <c r="H110" s="12">
        <v>60.7</v>
      </c>
      <c r="I110" s="12">
        <v>72.5</v>
      </c>
      <c r="J110" s="12">
        <v>83.7</v>
      </c>
      <c r="K110" s="10" t="str">
        <f t="shared" si="3"/>
        <v>High</v>
      </c>
    </row>
    <row r="111" spans="1:11" x14ac:dyDescent="0.3">
      <c r="A111" s="10" t="s">
        <v>230</v>
      </c>
      <c r="B111" s="10" t="s">
        <v>118</v>
      </c>
      <c r="C111" s="10" t="s">
        <v>119</v>
      </c>
      <c r="D111" s="11">
        <v>21</v>
      </c>
      <c r="E111" s="12">
        <v>8.1999999999999993</v>
      </c>
      <c r="F111" s="12">
        <v>80.7</v>
      </c>
      <c r="G111" s="12">
        <v>7.2</v>
      </c>
      <c r="H111" s="12">
        <v>71.099999999999994</v>
      </c>
      <c r="I111" s="12">
        <v>81.7</v>
      </c>
      <c r="J111" s="12">
        <v>93.3</v>
      </c>
      <c r="K111" s="10" t="str">
        <f t="shared" si="3"/>
        <v>Medium</v>
      </c>
    </row>
    <row r="112" spans="1:11" x14ac:dyDescent="0.3">
      <c r="A112" s="10" t="s">
        <v>231</v>
      </c>
      <c r="B112" s="10" t="s">
        <v>118</v>
      </c>
      <c r="C112" s="10" t="s">
        <v>122</v>
      </c>
      <c r="D112" s="11">
        <v>20</v>
      </c>
      <c r="E112" s="12">
        <v>5.8</v>
      </c>
      <c r="F112" s="12">
        <v>71</v>
      </c>
      <c r="G112" s="12">
        <v>6.1</v>
      </c>
      <c r="H112" s="12">
        <v>54.1</v>
      </c>
      <c r="I112" s="12">
        <v>66.5</v>
      </c>
      <c r="J112" s="12">
        <v>69.7</v>
      </c>
      <c r="K112" s="10" t="str">
        <f t="shared" si="3"/>
        <v>Low</v>
      </c>
    </row>
    <row r="113" spans="1:11" x14ac:dyDescent="0.3">
      <c r="A113" s="10" t="s">
        <v>232</v>
      </c>
      <c r="B113" s="10" t="s">
        <v>124</v>
      </c>
      <c r="C113" s="10" t="s">
        <v>119</v>
      </c>
      <c r="D113" s="11">
        <v>21</v>
      </c>
      <c r="E113" s="12">
        <v>7.4</v>
      </c>
      <c r="F113" s="12">
        <v>81.8</v>
      </c>
      <c r="G113" s="12">
        <v>7.3</v>
      </c>
      <c r="H113" s="12">
        <v>53.8</v>
      </c>
      <c r="I113" s="12">
        <v>64.8</v>
      </c>
      <c r="J113" s="12">
        <v>72.2</v>
      </c>
      <c r="K113" s="10" t="str">
        <f t="shared" si="3"/>
        <v>Medium</v>
      </c>
    </row>
    <row r="114" spans="1:11" x14ac:dyDescent="0.3">
      <c r="A114" s="10" t="s">
        <v>233</v>
      </c>
      <c r="B114" s="10" t="s">
        <v>118</v>
      </c>
      <c r="C114" s="10" t="s">
        <v>122</v>
      </c>
      <c r="D114" s="11">
        <v>23</v>
      </c>
      <c r="E114" s="12">
        <v>9.6</v>
      </c>
      <c r="F114" s="12">
        <v>77.599999999999994</v>
      </c>
      <c r="G114" s="12">
        <v>7</v>
      </c>
      <c r="H114" s="12">
        <v>67.400000000000006</v>
      </c>
      <c r="I114" s="12">
        <v>81.3</v>
      </c>
      <c r="J114" s="12">
        <v>85.3</v>
      </c>
      <c r="K114" s="10" t="str">
        <f t="shared" si="3"/>
        <v>Medium</v>
      </c>
    </row>
    <row r="115" spans="1:11" x14ac:dyDescent="0.3">
      <c r="A115" s="10" t="s">
        <v>234</v>
      </c>
      <c r="B115" s="10" t="s">
        <v>118</v>
      </c>
      <c r="C115" s="10" t="s">
        <v>122</v>
      </c>
      <c r="D115" s="11">
        <v>22</v>
      </c>
      <c r="E115" s="12">
        <v>7.5</v>
      </c>
      <c r="F115" s="12">
        <v>90.4</v>
      </c>
      <c r="G115" s="12">
        <v>6</v>
      </c>
      <c r="H115" s="12">
        <v>48.4</v>
      </c>
      <c r="I115" s="12">
        <v>65.5</v>
      </c>
      <c r="J115" s="12">
        <v>73.5</v>
      </c>
      <c r="K115" s="10" t="str">
        <f t="shared" si="3"/>
        <v>High</v>
      </c>
    </row>
    <row r="116" spans="1:11" x14ac:dyDescent="0.3">
      <c r="A116" s="10" t="s">
        <v>235</v>
      </c>
      <c r="B116" s="10" t="s">
        <v>124</v>
      </c>
      <c r="C116" s="10" t="s">
        <v>119</v>
      </c>
      <c r="D116" s="11">
        <v>24</v>
      </c>
      <c r="E116" s="12">
        <v>3.5</v>
      </c>
      <c r="F116" s="12">
        <v>64.2</v>
      </c>
      <c r="G116" s="12">
        <v>7</v>
      </c>
      <c r="H116" s="12">
        <v>60.3</v>
      </c>
      <c r="I116" s="12">
        <v>69.900000000000006</v>
      </c>
      <c r="J116" s="12">
        <v>73.599999999999994</v>
      </c>
      <c r="K116" s="10" t="str">
        <f t="shared" si="3"/>
        <v>Low</v>
      </c>
    </row>
    <row r="117" spans="1:11" x14ac:dyDescent="0.3">
      <c r="A117" s="10" t="s">
        <v>236</v>
      </c>
      <c r="B117" s="10" t="s">
        <v>118</v>
      </c>
      <c r="C117" s="10" t="s">
        <v>122</v>
      </c>
      <c r="D117" s="11">
        <v>23</v>
      </c>
      <c r="E117" s="12">
        <v>7.7</v>
      </c>
      <c r="F117" s="12">
        <v>83.5</v>
      </c>
      <c r="G117" s="12">
        <v>6.9</v>
      </c>
      <c r="H117" s="12">
        <v>62.8</v>
      </c>
      <c r="I117" s="12">
        <v>78.400000000000006</v>
      </c>
      <c r="J117" s="12">
        <v>69.400000000000006</v>
      </c>
      <c r="K117" s="10" t="str">
        <f t="shared" si="3"/>
        <v>Medium</v>
      </c>
    </row>
    <row r="118" spans="1:11" x14ac:dyDescent="0.3">
      <c r="A118" s="10" t="s">
        <v>237</v>
      </c>
      <c r="B118" s="10" t="s">
        <v>124</v>
      </c>
      <c r="C118" s="10" t="s">
        <v>122</v>
      </c>
      <c r="D118" s="11">
        <v>22</v>
      </c>
      <c r="E118" s="12">
        <v>5.3</v>
      </c>
      <c r="F118" s="12">
        <v>76.2</v>
      </c>
      <c r="G118" s="12">
        <v>8.4</v>
      </c>
      <c r="H118" s="12">
        <v>59.1</v>
      </c>
      <c r="I118" s="12">
        <v>70.900000000000006</v>
      </c>
      <c r="J118" s="12">
        <v>61.5</v>
      </c>
      <c r="K118" s="10" t="str">
        <f t="shared" si="3"/>
        <v>Medium</v>
      </c>
    </row>
    <row r="119" spans="1:11" x14ac:dyDescent="0.3">
      <c r="A119" s="10" t="s">
        <v>238</v>
      </c>
      <c r="B119" s="10" t="s">
        <v>124</v>
      </c>
      <c r="C119" s="10" t="s">
        <v>119</v>
      </c>
      <c r="D119" s="11">
        <v>24</v>
      </c>
      <c r="E119" s="12">
        <v>6.1</v>
      </c>
      <c r="F119" s="12">
        <v>72.2</v>
      </c>
      <c r="G119" s="12">
        <v>7.7</v>
      </c>
      <c r="H119" s="12">
        <v>72.8</v>
      </c>
      <c r="I119" s="12">
        <v>85.7</v>
      </c>
      <c r="J119" s="12">
        <v>75.900000000000006</v>
      </c>
      <c r="K119" s="10" t="str">
        <f t="shared" si="3"/>
        <v>Low</v>
      </c>
    </row>
    <row r="120" spans="1:11" x14ac:dyDescent="0.3">
      <c r="A120" s="10" t="s">
        <v>239</v>
      </c>
      <c r="B120" s="10" t="s">
        <v>124</v>
      </c>
      <c r="C120" s="10" t="s">
        <v>119</v>
      </c>
      <c r="D120" s="11">
        <v>22</v>
      </c>
      <c r="E120" s="12">
        <v>7</v>
      </c>
      <c r="F120" s="12">
        <v>84.4</v>
      </c>
      <c r="G120" s="12">
        <v>7</v>
      </c>
      <c r="H120" s="12">
        <v>55</v>
      </c>
      <c r="I120" s="12">
        <v>58.9</v>
      </c>
      <c r="J120" s="12">
        <v>72.3</v>
      </c>
      <c r="K120" s="10" t="str">
        <f t="shared" si="3"/>
        <v>Medium</v>
      </c>
    </row>
    <row r="121" spans="1:11" x14ac:dyDescent="0.3">
      <c r="A121" s="10" t="s">
        <v>240</v>
      </c>
      <c r="B121" s="10" t="s">
        <v>118</v>
      </c>
      <c r="C121" s="10" t="s">
        <v>122</v>
      </c>
      <c r="D121" s="11">
        <v>23</v>
      </c>
      <c r="E121" s="12">
        <v>5.4</v>
      </c>
      <c r="F121" s="12">
        <v>96.9</v>
      </c>
      <c r="G121" s="12">
        <v>7.2</v>
      </c>
      <c r="H121" s="12">
        <v>76.900000000000006</v>
      </c>
      <c r="I121" s="12">
        <v>89.3</v>
      </c>
      <c r="J121" s="12">
        <v>92.8</v>
      </c>
      <c r="K121" s="10" t="str">
        <f t="shared" si="3"/>
        <v>High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showGridLines="0" workbookViewId="0">
      <selection sqref="A1:F2"/>
    </sheetView>
  </sheetViews>
  <sheetFormatPr defaultRowHeight="14.4" x14ac:dyDescent="0.3"/>
  <cols>
    <col min="1" max="1" width="24" customWidth="1"/>
    <col min="2" max="2" width="14" customWidth="1"/>
    <col min="3" max="4" width="18" customWidth="1"/>
    <col min="5" max="5" width="28" customWidth="1"/>
    <col min="6" max="6" width="26" customWidth="1"/>
  </cols>
  <sheetData>
    <row r="1" spans="1:6" x14ac:dyDescent="0.3">
      <c r="A1" s="61" t="s">
        <v>241</v>
      </c>
      <c r="B1" s="34"/>
      <c r="C1" s="34"/>
      <c r="D1" s="34"/>
      <c r="E1" s="34"/>
      <c r="F1" s="34"/>
    </row>
    <row r="2" spans="1:6" x14ac:dyDescent="0.3">
      <c r="A2" s="34"/>
      <c r="B2" s="34"/>
      <c r="C2" s="34"/>
      <c r="D2" s="34"/>
      <c r="E2" s="34"/>
      <c r="F2" s="34"/>
    </row>
    <row r="4" spans="1:6" x14ac:dyDescent="0.3">
      <c r="A4" s="53" t="s">
        <v>242</v>
      </c>
      <c r="B4" s="54"/>
      <c r="C4" s="54"/>
      <c r="D4" s="54"/>
      <c r="E4" s="54"/>
      <c r="F4" s="55"/>
    </row>
    <row r="5" spans="1:6" x14ac:dyDescent="0.3">
      <c r="A5" s="58"/>
      <c r="B5" s="59"/>
      <c r="C5" s="59"/>
      <c r="D5" s="59"/>
      <c r="E5" s="59"/>
      <c r="F5" s="60"/>
    </row>
    <row r="7" spans="1:6" x14ac:dyDescent="0.3">
      <c r="A7" s="5" t="s">
        <v>52</v>
      </c>
      <c r="B7" s="5" t="s">
        <v>243</v>
      </c>
      <c r="C7" s="5" t="s">
        <v>244</v>
      </c>
      <c r="D7" s="5" t="s">
        <v>245</v>
      </c>
      <c r="E7" s="5" t="s">
        <v>246</v>
      </c>
      <c r="F7" s="5" t="s">
        <v>247</v>
      </c>
    </row>
    <row r="8" spans="1:6" x14ac:dyDescent="0.3">
      <c r="A8" s="13" t="s">
        <v>59</v>
      </c>
      <c r="B8" s="13">
        <f>COUNTBLANK('Raw Data'!A2:A121)</f>
        <v>0</v>
      </c>
      <c r="C8" s="13" t="s">
        <v>248</v>
      </c>
      <c r="D8" s="13" t="s">
        <v>248</v>
      </c>
      <c r="E8" s="13" t="s">
        <v>249</v>
      </c>
      <c r="F8" s="13" t="s">
        <v>250</v>
      </c>
    </row>
    <row r="9" spans="1:6" ht="28.8" x14ac:dyDescent="0.3">
      <c r="A9" s="14" t="s">
        <v>66</v>
      </c>
      <c r="B9" s="14">
        <f>COUNTBLANK('Raw Data'!B2:B121)</f>
        <v>0</v>
      </c>
      <c r="C9" s="14" t="s">
        <v>248</v>
      </c>
      <c r="D9" s="14" t="s">
        <v>248</v>
      </c>
      <c r="E9" s="14" t="s">
        <v>69</v>
      </c>
      <c r="F9" s="14" t="s">
        <v>251</v>
      </c>
    </row>
    <row r="10" spans="1:6" ht="28.8" x14ac:dyDescent="0.3">
      <c r="A10" s="13" t="s">
        <v>76</v>
      </c>
      <c r="B10" s="13">
        <f>COUNTBLANK('Raw Data'!D2:D121)</f>
        <v>0</v>
      </c>
      <c r="C10" s="13">
        <f>COUNTIF('Raw Data'!D2:D121,"&lt;18")</f>
        <v>0</v>
      </c>
      <c r="D10" s="13">
        <f>COUNTIF('Raw Data'!D2:D121,"&gt;30")</f>
        <v>0</v>
      </c>
      <c r="E10" s="13" t="s">
        <v>252</v>
      </c>
      <c r="F10" s="13" t="s">
        <v>253</v>
      </c>
    </row>
    <row r="11" spans="1:6" ht="28.8" x14ac:dyDescent="0.3">
      <c r="A11" s="14" t="s">
        <v>82</v>
      </c>
      <c r="B11" s="14">
        <f>COUNTBLANK('Raw Data'!E2:E121)</f>
        <v>0</v>
      </c>
      <c r="C11" s="14">
        <f>COUNTIF('Raw Data'!E2:E121,"&lt;0")</f>
        <v>0</v>
      </c>
      <c r="D11" s="14">
        <f>COUNTIF('Raw Data'!E2:E121,"&gt;20")</f>
        <v>0</v>
      </c>
      <c r="E11" s="14" t="s">
        <v>254</v>
      </c>
      <c r="F11" s="14" t="s">
        <v>255</v>
      </c>
    </row>
    <row r="12" spans="1:6" ht="28.8" x14ac:dyDescent="0.3">
      <c r="A12" s="13" t="s">
        <v>87</v>
      </c>
      <c r="B12" s="13">
        <f>COUNTBLANK('Raw Data'!F2:F121)</f>
        <v>0</v>
      </c>
      <c r="C12" s="13">
        <f>COUNTIF('Raw Data'!F2:F121,"&lt;0")</f>
        <v>0</v>
      </c>
      <c r="D12" s="13">
        <f>COUNTIF('Raw Data'!F2:F121,"&gt;100")</f>
        <v>0</v>
      </c>
      <c r="E12" s="13" t="s">
        <v>256</v>
      </c>
      <c r="F12" s="13" t="s">
        <v>257</v>
      </c>
    </row>
    <row r="13" spans="1:6" ht="28.8" x14ac:dyDescent="0.3">
      <c r="A13" s="14" t="s">
        <v>92</v>
      </c>
      <c r="B13" s="14">
        <f>COUNTBLANK('Raw Data'!G2:G121)</f>
        <v>0</v>
      </c>
      <c r="C13" s="14">
        <f>COUNTIF('Raw Data'!G2:G121,"&lt;0")</f>
        <v>0</v>
      </c>
      <c r="D13" s="14">
        <f>COUNTIF('Raw Data'!G2:G121,"&gt;24")</f>
        <v>0</v>
      </c>
      <c r="E13" s="14" t="s">
        <v>258</v>
      </c>
      <c r="F13" s="14" t="s">
        <v>259</v>
      </c>
    </row>
    <row r="14" spans="1:6" ht="28.8" x14ac:dyDescent="0.3">
      <c r="A14" s="13" t="s">
        <v>96</v>
      </c>
      <c r="B14" s="13">
        <f>COUNTBLANK('Raw Data'!H2:H121)</f>
        <v>0</v>
      </c>
      <c r="C14" s="13">
        <f>COUNTIF('Raw Data'!H2:H121,"&lt;0")</f>
        <v>0</v>
      </c>
      <c r="D14" s="13">
        <f>COUNTIF('Raw Data'!H2:H121,"&gt;100")</f>
        <v>0</v>
      </c>
      <c r="E14" s="13" t="s">
        <v>260</v>
      </c>
      <c r="F14" s="13" t="s">
        <v>261</v>
      </c>
    </row>
    <row r="15" spans="1:6" ht="28.8" x14ac:dyDescent="0.3">
      <c r="A15" s="14" t="s">
        <v>101</v>
      </c>
      <c r="B15" s="14">
        <f>COUNTBLANK('Raw Data'!I2:I121)</f>
        <v>0</v>
      </c>
      <c r="C15" s="14">
        <f>COUNTIF('Raw Data'!I2:I121,"&lt;0")</f>
        <v>0</v>
      </c>
      <c r="D15" s="14">
        <f>COUNTIF('Raw Data'!I2:I121,"&gt;100")</f>
        <v>0</v>
      </c>
      <c r="E15" s="14" t="s">
        <v>260</v>
      </c>
      <c r="F15" s="14" t="s">
        <v>261</v>
      </c>
    </row>
    <row r="16" spans="1:6" ht="28.8" x14ac:dyDescent="0.3">
      <c r="A16" s="13" t="s">
        <v>106</v>
      </c>
      <c r="B16" s="13">
        <f>COUNTBLANK('Raw Data'!J2:J121)</f>
        <v>0</v>
      </c>
      <c r="C16" s="13">
        <f>COUNTIF('Raw Data'!J2:J121,"&lt;0")</f>
        <v>0</v>
      </c>
      <c r="D16" s="13">
        <f>COUNTIF('Raw Data'!J2:J121,"&gt;100")</f>
        <v>0</v>
      </c>
      <c r="E16" s="13" t="s">
        <v>260</v>
      </c>
      <c r="F16" s="13" t="s">
        <v>261</v>
      </c>
    </row>
    <row r="19" spans="1:6" x14ac:dyDescent="0.3">
      <c r="A19" s="15" t="s">
        <v>262</v>
      </c>
      <c r="B19" s="62" t="s">
        <v>263</v>
      </c>
      <c r="C19" s="46"/>
      <c r="D19" s="46"/>
      <c r="E19" s="46"/>
      <c r="F19" s="47"/>
    </row>
    <row r="20" spans="1:6" x14ac:dyDescent="0.3">
      <c r="A20" s="8"/>
      <c r="B20" s="48"/>
      <c r="C20" s="34"/>
      <c r="D20" s="34"/>
      <c r="E20" s="34"/>
      <c r="F20" s="49"/>
    </row>
    <row r="21" spans="1:6" x14ac:dyDescent="0.3">
      <c r="A21" s="8"/>
      <c r="B21" s="50"/>
      <c r="C21" s="51"/>
      <c r="D21" s="51"/>
      <c r="E21" s="51"/>
      <c r="F21" s="52"/>
    </row>
  </sheetData>
  <mergeCells count="3">
    <mergeCell ref="A4:F5"/>
    <mergeCell ref="B19:F21"/>
    <mergeCell ref="A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showGridLines="0" workbookViewId="0">
      <selection sqref="A1:L2"/>
    </sheetView>
  </sheetViews>
  <sheetFormatPr defaultRowHeight="14.4" x14ac:dyDescent="0.3"/>
  <cols>
    <col min="1" max="1" width="24" customWidth="1"/>
    <col min="2" max="5" width="12" customWidth="1"/>
    <col min="6" max="6" width="10" customWidth="1"/>
    <col min="8" max="8" width="24" customWidth="1"/>
    <col min="9" max="10" width="14" customWidth="1"/>
    <col min="11" max="11" width="16" customWidth="1"/>
    <col min="12" max="12" width="28" customWidth="1"/>
  </cols>
  <sheetData>
    <row r="1" spans="1:12" x14ac:dyDescent="0.3">
      <c r="A1" s="61" t="s">
        <v>21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4" spans="1:12" x14ac:dyDescent="0.3">
      <c r="A4" s="5" t="s">
        <v>52</v>
      </c>
      <c r="B4" s="5" t="s">
        <v>264</v>
      </c>
      <c r="C4" s="5" t="s">
        <v>265</v>
      </c>
      <c r="D4" s="5" t="s">
        <v>266</v>
      </c>
      <c r="E4" s="5" t="s">
        <v>267</v>
      </c>
      <c r="F4" s="5" t="s">
        <v>268</v>
      </c>
      <c r="G4" s="5"/>
      <c r="H4" s="5" t="s">
        <v>269</v>
      </c>
      <c r="I4" s="5" t="s">
        <v>118</v>
      </c>
      <c r="J4" s="5" t="s">
        <v>124</v>
      </c>
      <c r="K4" s="5" t="s">
        <v>270</v>
      </c>
      <c r="L4" s="5" t="s">
        <v>247</v>
      </c>
    </row>
    <row r="5" spans="1:12" ht="28.8" x14ac:dyDescent="0.3">
      <c r="A5" s="16" t="s">
        <v>76</v>
      </c>
      <c r="B5" s="17">
        <f>AVERAGE('Raw Data'!D2:D121)</f>
        <v>21.241666666666667</v>
      </c>
      <c r="C5" s="17" t="e">
        <f ca="1">_xludf.STDEV.S('Raw Data'!D2:D121)</f>
        <v>#NAME?</v>
      </c>
      <c r="D5" s="17">
        <f>MIN('Raw Data'!D2:D121)</f>
        <v>18</v>
      </c>
      <c r="E5" s="17">
        <f>MAX('Raw Data'!D2:D121)</f>
        <v>26</v>
      </c>
      <c r="F5" s="18">
        <f>COUNT('Raw Data'!D2:D121)</f>
        <v>120</v>
      </c>
      <c r="H5" s="14" t="s">
        <v>271</v>
      </c>
      <c r="I5" s="19">
        <f>COUNTIF('Raw Data'!B2:B121,"Mentored")</f>
        <v>60</v>
      </c>
      <c r="J5" s="19">
        <f>COUNTIF('Raw Data'!B2:B121,"Control")</f>
        <v>60</v>
      </c>
      <c r="K5" s="19">
        <f t="shared" ref="K5:K10" si="0">I5-J5</f>
        <v>0</v>
      </c>
      <c r="L5" s="14" t="s">
        <v>272</v>
      </c>
    </row>
    <row r="6" spans="1:12" ht="43.2" x14ac:dyDescent="0.3">
      <c r="A6" s="20" t="s">
        <v>82</v>
      </c>
      <c r="B6" s="21">
        <f>AVERAGE('Raw Data'!E2:E121)</f>
        <v>7.2816666666666663</v>
      </c>
      <c r="C6" s="21" t="e">
        <f ca="1">_xludf.STDEV.S('Raw Data'!E2:E121)</f>
        <v>#NAME?</v>
      </c>
      <c r="D6" s="21">
        <f>MIN('Raw Data'!E2:E121)</f>
        <v>3.4</v>
      </c>
      <c r="E6" s="21">
        <f>MAX('Raw Data'!E2:E121)</f>
        <v>12.5</v>
      </c>
      <c r="F6" s="22">
        <f>COUNT('Raw Data'!E2:E121)</f>
        <v>120</v>
      </c>
      <c r="H6" s="13" t="s">
        <v>273</v>
      </c>
      <c r="I6" s="23">
        <f>AVERAGEIF('Raw Data'!B2:B121,"Mentored",'Raw Data'!J2:J121)</f>
        <v>79.981666666666655</v>
      </c>
      <c r="J6" s="23">
        <f>AVERAGEIF('Raw Data'!B2:B121,"Control",'Raw Data'!J2:J121)</f>
        <v>75.243333333333339</v>
      </c>
      <c r="K6" s="23">
        <f t="shared" si="0"/>
        <v>4.7383333333333155</v>
      </c>
      <c r="L6" s="13" t="s">
        <v>274</v>
      </c>
    </row>
    <row r="7" spans="1:12" ht="28.8" x14ac:dyDescent="0.3">
      <c r="A7" s="16" t="s">
        <v>87</v>
      </c>
      <c r="B7" s="17">
        <f>AVERAGE('Raw Data'!F2:F121)</f>
        <v>83.66249999999998</v>
      </c>
      <c r="C7" s="17" t="e">
        <f ca="1">_xludf.STDEV.S('Raw Data'!F2:F121)</f>
        <v>#NAME?</v>
      </c>
      <c r="D7" s="17">
        <f>MIN('Raw Data'!F2:F121)</f>
        <v>60.1</v>
      </c>
      <c r="E7" s="17">
        <f>MAX('Raw Data'!F2:F121)</f>
        <v>98.9</v>
      </c>
      <c r="F7" s="18">
        <f>COUNT('Raw Data'!F2:F121)</f>
        <v>120</v>
      </c>
      <c r="H7" s="14" t="s">
        <v>275</v>
      </c>
      <c r="I7" s="24">
        <f>AVERAGEIF('Raw Data'!B2:B121,"Mentored",'Raw Data'!H2:H121)</f>
        <v>59.648333333333333</v>
      </c>
      <c r="J7" s="24">
        <f>AVERAGEIF('Raw Data'!B2:B121,"Control",'Raw Data'!H2:H121)</f>
        <v>60.320000000000014</v>
      </c>
      <c r="K7" s="24">
        <f t="shared" si="0"/>
        <v>-0.67166666666668107</v>
      </c>
      <c r="L7" s="14" t="s">
        <v>276</v>
      </c>
    </row>
    <row r="8" spans="1:12" ht="28.8" x14ac:dyDescent="0.3">
      <c r="A8" s="20" t="s">
        <v>92</v>
      </c>
      <c r="B8" s="21">
        <f>AVERAGE('Raw Data'!G2:G121)</f>
        <v>6.9958333333333345</v>
      </c>
      <c r="C8" s="21" t="e">
        <f ca="1">_xludf.STDEV.S('Raw Data'!G2:G121)</f>
        <v>#NAME?</v>
      </c>
      <c r="D8" s="21">
        <f>MIN('Raw Data'!G2:G121)</f>
        <v>5</v>
      </c>
      <c r="E8" s="21">
        <f>MAX('Raw Data'!G2:G121)</f>
        <v>8.9</v>
      </c>
      <c r="F8" s="22">
        <f>COUNT('Raw Data'!G2:G121)</f>
        <v>120</v>
      </c>
      <c r="H8" s="13" t="s">
        <v>277</v>
      </c>
      <c r="I8" s="23">
        <f>AVERAGEIF('Raw Data'!B2:B121,"Mentored",'Raw Data'!I2:I121)</f>
        <v>73.881666666666646</v>
      </c>
      <c r="J8" s="23">
        <f>AVERAGEIF('Raw Data'!B2:B121,"Control",'Raw Data'!I2:I121)</f>
        <v>72.545000000000002</v>
      </c>
      <c r="K8" s="23">
        <f t="shared" si="0"/>
        <v>1.3366666666666447</v>
      </c>
      <c r="L8" s="13" t="s">
        <v>278</v>
      </c>
    </row>
    <row r="9" spans="1:12" ht="28.8" x14ac:dyDescent="0.3">
      <c r="A9" s="16" t="s">
        <v>96</v>
      </c>
      <c r="B9" s="17">
        <f>AVERAGE('Raw Data'!H2:H121)</f>
        <v>59.98416666666666</v>
      </c>
      <c r="C9" s="17" t="e">
        <f ca="1">_xludf.STDEV.S('Raw Data'!H2:H121)</f>
        <v>#NAME?</v>
      </c>
      <c r="D9" s="17">
        <f>MIN('Raw Data'!H2:H121)</f>
        <v>40</v>
      </c>
      <c r="E9" s="17">
        <f>MAX('Raw Data'!H2:H121)</f>
        <v>82</v>
      </c>
      <c r="F9" s="18">
        <f>COUNT('Raw Data'!H2:H121)</f>
        <v>120</v>
      </c>
      <c r="H9" s="14" t="s">
        <v>279</v>
      </c>
      <c r="I9" s="24">
        <f>AVERAGEIF('Raw Data'!B2:B121,"Mentored",'Raw Data'!E2:E121)</f>
        <v>7.7333333333333343</v>
      </c>
      <c r="J9" s="24">
        <f>AVERAGEIF('Raw Data'!B2:B121,"Control",'Raw Data'!E2:E121)</f>
        <v>6.83</v>
      </c>
      <c r="K9" s="24">
        <f t="shared" si="0"/>
        <v>0.90333333333333421</v>
      </c>
      <c r="L9" s="14" t="s">
        <v>280</v>
      </c>
    </row>
    <row r="10" spans="1:12" ht="28.8" x14ac:dyDescent="0.3">
      <c r="A10" s="20" t="s">
        <v>101</v>
      </c>
      <c r="B10" s="21">
        <f>AVERAGE('Raw Data'!I2:I121)</f>
        <v>73.213333333333324</v>
      </c>
      <c r="C10" s="21" t="e">
        <f ca="1">_xludf.STDEV.S('Raw Data'!I2:I121)</f>
        <v>#NAME?</v>
      </c>
      <c r="D10" s="21">
        <f>MIN('Raw Data'!I2:I121)</f>
        <v>45</v>
      </c>
      <c r="E10" s="21">
        <f>MAX('Raw Data'!I2:I121)</f>
        <v>98</v>
      </c>
      <c r="F10" s="22">
        <f>COUNT('Raw Data'!I2:I121)</f>
        <v>120</v>
      </c>
      <c r="H10" s="13" t="s">
        <v>281</v>
      </c>
      <c r="I10" s="23">
        <f>AVERAGEIF('Raw Data'!B2:B121,"Mentored",'Raw Data'!F2:F121)</f>
        <v>85.808333333333337</v>
      </c>
      <c r="J10" s="23">
        <f>AVERAGEIF('Raw Data'!B2:B121,"Control",'Raw Data'!F2:F121)</f>
        <v>81.516666666666652</v>
      </c>
      <c r="K10" s="23">
        <f t="shared" si="0"/>
        <v>4.2916666666666856</v>
      </c>
      <c r="L10" s="13" t="s">
        <v>282</v>
      </c>
    </row>
    <row r="11" spans="1:12" x14ac:dyDescent="0.3">
      <c r="A11" s="16" t="s">
        <v>106</v>
      </c>
      <c r="B11" s="17">
        <f>AVERAGE('Raw Data'!J2:J121)</f>
        <v>77.612500000000011</v>
      </c>
      <c r="C11" s="17" t="e">
        <f ca="1">_xludf.STDEV.S('Raw Data'!J2:J121)</f>
        <v>#NAME?</v>
      </c>
      <c r="D11" s="17">
        <f>MIN('Raw Data'!J2:J121)</f>
        <v>51.8</v>
      </c>
      <c r="E11" s="17">
        <f>MAX('Raw Data'!J2:J121)</f>
        <v>99</v>
      </c>
      <c r="F11" s="18">
        <f>COUNT('Raw Data'!J2:J121)</f>
        <v>120</v>
      </c>
    </row>
    <row r="13" spans="1:12" x14ac:dyDescent="0.3">
      <c r="H13" s="25" t="s">
        <v>283</v>
      </c>
      <c r="K13" s="25" t="s">
        <v>284</v>
      </c>
    </row>
    <row r="14" spans="1:12" x14ac:dyDescent="0.3">
      <c r="H14" s="4" t="s">
        <v>122</v>
      </c>
      <c r="I14" s="4">
        <f>COUNTIF('Raw Data'!C2:C121,"Female")</f>
        <v>67</v>
      </c>
      <c r="K14" s="4" t="s">
        <v>285</v>
      </c>
      <c r="L14" s="4">
        <f>COUNTIF('Raw Data'!K2:K121,"Low")</f>
        <v>18</v>
      </c>
    </row>
    <row r="15" spans="1:12" x14ac:dyDescent="0.3">
      <c r="H15" s="4" t="s">
        <v>119</v>
      </c>
      <c r="I15" s="4">
        <f>COUNTIF('Raw Data'!C2:C121,"Male")</f>
        <v>53</v>
      </c>
      <c r="K15" s="4" t="s">
        <v>286</v>
      </c>
      <c r="L15" s="4">
        <f>COUNTIF('Raw Data'!K2:K121,"Medium")</f>
        <v>64</v>
      </c>
    </row>
    <row r="16" spans="1:12" x14ac:dyDescent="0.3">
      <c r="K16" s="4" t="s">
        <v>287</v>
      </c>
      <c r="L16" s="4">
        <f>COUNTIF('Raw Data'!K2:K121,"High")</f>
        <v>38</v>
      </c>
    </row>
  </sheetData>
  <mergeCells count="1">
    <mergeCell ref="A1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21"/>
  <sheetViews>
    <sheetView showGridLines="0" topLeftCell="A61" workbookViewId="0">
      <selection activeCell="E13" sqref="E13"/>
    </sheetView>
  </sheetViews>
  <sheetFormatPr defaultRowHeight="14.4" x14ac:dyDescent="0.3"/>
  <cols>
    <col min="1" max="1" width="26" customWidth="1"/>
    <col min="2" max="2" width="21.88671875" customWidth="1"/>
    <col min="3" max="3" width="14" customWidth="1"/>
    <col min="4" max="4" width="40" customWidth="1"/>
    <col min="5" max="5" width="26" customWidth="1"/>
    <col min="6" max="9" width="14" customWidth="1"/>
    <col min="13" max="14" width="12" hidden="1" customWidth="1"/>
    <col min="16" max="18" width="12" hidden="1" customWidth="1"/>
    <col min="20" max="22" width="12" hidden="1" customWidth="1"/>
  </cols>
  <sheetData>
    <row r="1" spans="1:22" x14ac:dyDescent="0.3">
      <c r="A1" s="61" t="s">
        <v>288</v>
      </c>
      <c r="B1" s="34"/>
      <c r="C1" s="34"/>
      <c r="D1" s="34"/>
      <c r="E1" s="34"/>
      <c r="F1" s="34"/>
      <c r="G1" s="34"/>
      <c r="H1" s="34"/>
      <c r="I1" s="34"/>
    </row>
    <row r="2" spans="1:22" x14ac:dyDescent="0.3">
      <c r="A2" s="34"/>
      <c r="B2" s="34"/>
      <c r="C2" s="34"/>
      <c r="D2" s="34"/>
      <c r="E2" s="34"/>
      <c r="F2" s="34"/>
      <c r="G2" s="34"/>
      <c r="H2" s="34"/>
      <c r="I2" s="34"/>
      <c r="M2">
        <f>IF('Raw Data'!$B2="Mentored",'Raw Data'!$J2,"")</f>
        <v>68.2</v>
      </c>
      <c r="N2" t="str">
        <f>IF('Raw Data'!$B2="Control",'Raw Data'!$J2,"")</f>
        <v/>
      </c>
      <c r="P2">
        <f>IF('Raw Data'!$B2="Mentored",'Raw Data'!$H2,"")</f>
        <v>61.2</v>
      </c>
      <c r="Q2">
        <f>IF('Raw Data'!$B2="Mentored",'Raw Data'!$I2,"")</f>
        <v>75</v>
      </c>
      <c r="R2">
        <f t="shared" ref="R2:R33" si="0">IF(AND(P2&lt;&gt;"",Q2&lt;&gt;""),Q2-P2,"")</f>
        <v>13.799999999999997</v>
      </c>
      <c r="T2" t="str">
        <f>IF('Raw Data'!$K2="Low",'Raw Data'!$J2,"")</f>
        <v/>
      </c>
      <c r="U2">
        <f>IF('Raw Data'!$K2="Medium",'Raw Data'!$J2,"")</f>
        <v>68.2</v>
      </c>
      <c r="V2" t="str">
        <f>IF('Raw Data'!$K2="High",'Raw Data'!$J2,"")</f>
        <v/>
      </c>
    </row>
    <row r="3" spans="1:22" x14ac:dyDescent="0.3">
      <c r="M3">
        <f>IF('Raw Data'!$B3="Mentored",'Raw Data'!$J3,"")</f>
        <v>78.599999999999994</v>
      </c>
      <c r="N3" t="str">
        <f>IF('Raw Data'!$B3="Control",'Raw Data'!$J3,"")</f>
        <v/>
      </c>
      <c r="P3">
        <f>IF('Raw Data'!$B3="Mentored",'Raw Data'!$H3,"")</f>
        <v>59.6</v>
      </c>
      <c r="Q3">
        <f>IF('Raw Data'!$B3="Mentored",'Raw Data'!$I3,"")</f>
        <v>68.2</v>
      </c>
      <c r="R3">
        <f t="shared" si="0"/>
        <v>8.6000000000000014</v>
      </c>
      <c r="T3" t="str">
        <f>IF('Raw Data'!$K3="Low",'Raw Data'!$J3,"")</f>
        <v/>
      </c>
      <c r="U3">
        <f>IF('Raw Data'!$K3="Medium",'Raw Data'!$J3,"")</f>
        <v>78.599999999999994</v>
      </c>
      <c r="V3" t="str">
        <f>IF('Raw Data'!$K3="High",'Raw Data'!$J3,"")</f>
        <v/>
      </c>
    </row>
    <row r="4" spans="1:22" ht="15.6" x14ac:dyDescent="0.3">
      <c r="A4" s="63" t="s">
        <v>289</v>
      </c>
      <c r="B4" s="34"/>
      <c r="C4" s="34"/>
      <c r="D4" s="34"/>
      <c r="E4" s="34"/>
      <c r="F4" s="34"/>
      <c r="G4" s="34"/>
      <c r="H4" s="34"/>
      <c r="I4" s="34"/>
      <c r="M4">
        <f>IF('Raw Data'!$B4="Mentored",'Raw Data'!$J4,"")</f>
        <v>78.599999999999994</v>
      </c>
      <c r="N4" t="str">
        <f>IF('Raw Data'!$B4="Control",'Raw Data'!$J4,"")</f>
        <v/>
      </c>
      <c r="P4">
        <f>IF('Raw Data'!$B4="Mentored",'Raw Data'!$H4,"")</f>
        <v>54</v>
      </c>
      <c r="Q4">
        <f>IF('Raw Data'!$B4="Mentored",'Raw Data'!$I4,"")</f>
        <v>69.599999999999994</v>
      </c>
      <c r="R4">
        <f t="shared" si="0"/>
        <v>15.599999999999994</v>
      </c>
      <c r="T4" t="str">
        <f>IF('Raw Data'!$K4="Low",'Raw Data'!$J4,"")</f>
        <v/>
      </c>
      <c r="U4">
        <f>IF('Raw Data'!$K4="Medium",'Raw Data'!$J4,"")</f>
        <v>78.599999999999994</v>
      </c>
      <c r="V4" t="str">
        <f>IF('Raw Data'!$K4="High",'Raw Data'!$J4,"")</f>
        <v/>
      </c>
    </row>
    <row r="5" spans="1:22" x14ac:dyDescent="0.3">
      <c r="A5" s="53" t="s">
        <v>290</v>
      </c>
      <c r="B5" s="54"/>
      <c r="C5" s="54"/>
      <c r="D5" s="54"/>
      <c r="E5" s="54"/>
      <c r="F5" s="54"/>
      <c r="G5" s="54"/>
      <c r="H5" s="54"/>
      <c r="I5" s="55"/>
      <c r="M5" t="str">
        <f>IF('Raw Data'!$B5="Mentored",'Raw Data'!$J5,"")</f>
        <v/>
      </c>
      <c r="N5">
        <f>IF('Raw Data'!$B5="Control",'Raw Data'!$J5,"")</f>
        <v>80.3</v>
      </c>
      <c r="P5" t="str">
        <f>IF('Raw Data'!$B5="Mentored",'Raw Data'!$H5,"")</f>
        <v/>
      </c>
      <c r="Q5" t="str">
        <f>IF('Raw Data'!$B5="Mentored",'Raw Data'!$I5,"")</f>
        <v/>
      </c>
      <c r="R5" t="str">
        <f t="shared" si="0"/>
        <v/>
      </c>
      <c r="T5" t="str">
        <f>IF('Raw Data'!$K5="Low",'Raw Data'!$J5,"")</f>
        <v/>
      </c>
      <c r="U5" t="str">
        <f>IF('Raw Data'!$K5="Medium",'Raw Data'!$J5,"")</f>
        <v/>
      </c>
      <c r="V5">
        <f>IF('Raw Data'!$K5="High",'Raw Data'!$J5,"")</f>
        <v>80.3</v>
      </c>
    </row>
    <row r="6" spans="1:22" x14ac:dyDescent="0.3">
      <c r="A6" s="58"/>
      <c r="B6" s="59"/>
      <c r="C6" s="59"/>
      <c r="D6" s="59"/>
      <c r="E6" s="59"/>
      <c r="F6" s="59"/>
      <c r="G6" s="59"/>
      <c r="H6" s="59"/>
      <c r="I6" s="60"/>
      <c r="M6">
        <f>IF('Raw Data'!$B6="Mentored",'Raw Data'!$J6,"")</f>
        <v>89.2</v>
      </c>
      <c r="N6" t="str">
        <f>IF('Raw Data'!$B6="Control",'Raw Data'!$J6,"")</f>
        <v/>
      </c>
      <c r="P6">
        <f>IF('Raw Data'!$B6="Mentored",'Raw Data'!$H6,"")</f>
        <v>57.6</v>
      </c>
      <c r="Q6">
        <f>IF('Raw Data'!$B6="Mentored",'Raw Data'!$I6,"")</f>
        <v>70.3</v>
      </c>
      <c r="R6">
        <f t="shared" si="0"/>
        <v>12.699999999999996</v>
      </c>
      <c r="T6" t="str">
        <f>IF('Raw Data'!$K6="Low",'Raw Data'!$J6,"")</f>
        <v/>
      </c>
      <c r="U6" t="str">
        <f>IF('Raw Data'!$K6="Medium",'Raw Data'!$J6,"")</f>
        <v/>
      </c>
      <c r="V6">
        <f>IF('Raw Data'!$K6="High",'Raw Data'!$J6,"")</f>
        <v>89.2</v>
      </c>
    </row>
    <row r="7" spans="1:22" x14ac:dyDescent="0.3">
      <c r="M7" t="str">
        <f>IF('Raw Data'!$B7="Mentored",'Raw Data'!$J7,"")</f>
        <v/>
      </c>
      <c r="N7">
        <f>IF('Raw Data'!$B7="Control",'Raw Data'!$J7,"")</f>
        <v>70.599999999999994</v>
      </c>
      <c r="P7" t="str">
        <f>IF('Raw Data'!$B7="Mentored",'Raw Data'!$H7,"")</f>
        <v/>
      </c>
      <c r="Q7" t="str">
        <f>IF('Raw Data'!$B7="Mentored",'Raw Data'!$I7,"")</f>
        <v/>
      </c>
      <c r="R7" t="str">
        <f t="shared" si="0"/>
        <v/>
      </c>
      <c r="T7" t="str">
        <f>IF('Raw Data'!$K7="Low",'Raw Data'!$J7,"")</f>
        <v/>
      </c>
      <c r="U7">
        <f>IF('Raw Data'!$K7="Medium",'Raw Data'!$J7,"")</f>
        <v>70.599999999999994</v>
      </c>
      <c r="V7" t="str">
        <f>IF('Raw Data'!$K7="High",'Raw Data'!$J7,"")</f>
        <v/>
      </c>
    </row>
    <row r="8" spans="1:22" x14ac:dyDescent="0.3">
      <c r="A8" s="9" t="s">
        <v>269</v>
      </c>
      <c r="B8" s="9" t="s">
        <v>118</v>
      </c>
      <c r="C8" s="9" t="s">
        <v>124</v>
      </c>
      <c r="D8" s="9" t="s">
        <v>291</v>
      </c>
      <c r="M8" t="str">
        <f>IF('Raw Data'!$B8="Mentored",'Raw Data'!$J8,"")</f>
        <v/>
      </c>
      <c r="N8">
        <f>IF('Raw Data'!$B8="Control",'Raw Data'!$J8,"")</f>
        <v>77</v>
      </c>
      <c r="P8" t="str">
        <f>IF('Raw Data'!$B8="Mentored",'Raw Data'!$H8,"")</f>
        <v/>
      </c>
      <c r="Q8" t="str">
        <f>IF('Raw Data'!$B8="Mentored",'Raw Data'!$I8,"")</f>
        <v/>
      </c>
      <c r="R8" t="str">
        <f t="shared" si="0"/>
        <v/>
      </c>
      <c r="T8" t="str">
        <f>IF('Raw Data'!$K8="Low",'Raw Data'!$J8,"")</f>
        <v/>
      </c>
      <c r="U8" t="str">
        <f>IF('Raw Data'!$K8="Medium",'Raw Data'!$J8,"")</f>
        <v/>
      </c>
      <c r="V8">
        <f>IF('Raw Data'!$K8="High",'Raw Data'!$J8,"")</f>
        <v>77</v>
      </c>
    </row>
    <row r="9" spans="1:22" x14ac:dyDescent="0.3">
      <c r="A9" s="3" t="s">
        <v>292</v>
      </c>
      <c r="B9" s="26">
        <f>COUNT(M2:M121)</f>
        <v>60</v>
      </c>
      <c r="C9" s="26">
        <f>COUNT(N2:N121)</f>
        <v>60</v>
      </c>
      <c r="D9" s="3" t="s">
        <v>248</v>
      </c>
      <c r="M9">
        <f>IF('Raw Data'!$B9="Mentored",'Raw Data'!$J9,"")</f>
        <v>94.5</v>
      </c>
      <c r="N9" t="str">
        <f>IF('Raw Data'!$B9="Control",'Raw Data'!$J9,"")</f>
        <v/>
      </c>
      <c r="P9">
        <f>IF('Raw Data'!$B9="Mentored",'Raw Data'!$H9,"")</f>
        <v>67.099999999999994</v>
      </c>
      <c r="Q9">
        <f>IF('Raw Data'!$B9="Mentored",'Raw Data'!$I9,"")</f>
        <v>82.6</v>
      </c>
      <c r="R9">
        <f t="shared" si="0"/>
        <v>15.5</v>
      </c>
      <c r="T9" t="str">
        <f>IF('Raw Data'!$K9="Low",'Raw Data'!$J9,"")</f>
        <v/>
      </c>
      <c r="U9" t="str">
        <f>IF('Raw Data'!$K9="Medium",'Raw Data'!$J9,"")</f>
        <v/>
      </c>
      <c r="V9">
        <f>IF('Raw Data'!$K9="High",'Raw Data'!$J9,"")</f>
        <v>94.5</v>
      </c>
    </row>
    <row r="10" spans="1:22" x14ac:dyDescent="0.3">
      <c r="A10" s="27" t="s">
        <v>273</v>
      </c>
      <c r="B10" s="28">
        <f>AVERAGE(M2:M121)</f>
        <v>79.981666666666655</v>
      </c>
      <c r="C10" s="28">
        <f>AVERAGE(N2:N121)</f>
        <v>75.243333333333339</v>
      </c>
      <c r="D10" s="27" t="s">
        <v>248</v>
      </c>
      <c r="M10">
        <f>IF('Raw Data'!$B10="Mentored",'Raw Data'!$J10,"")</f>
        <v>72.8</v>
      </c>
      <c r="N10" t="str">
        <f>IF('Raw Data'!$B10="Control",'Raw Data'!$J10,"")</f>
        <v/>
      </c>
      <c r="P10">
        <f>IF('Raw Data'!$B10="Mentored",'Raw Data'!$H10,"")</f>
        <v>48.6</v>
      </c>
      <c r="Q10">
        <f>IF('Raw Data'!$B10="Mentored",'Raw Data'!$I10,"")</f>
        <v>66.900000000000006</v>
      </c>
      <c r="R10">
        <f t="shared" si="0"/>
        <v>18.300000000000004</v>
      </c>
      <c r="T10" t="str">
        <f>IF('Raw Data'!$K10="Low",'Raw Data'!$J10,"")</f>
        <v/>
      </c>
      <c r="U10">
        <f>IF('Raw Data'!$K10="Medium",'Raw Data'!$J10,"")</f>
        <v>72.8</v>
      </c>
      <c r="V10" t="str">
        <f>IF('Raw Data'!$K10="High",'Raw Data'!$J10,"")</f>
        <v/>
      </c>
    </row>
    <row r="11" spans="1:22" x14ac:dyDescent="0.3">
      <c r="A11" s="3" t="s">
        <v>265</v>
      </c>
      <c r="B11" s="3" t="e">
        <f ca="1">_xludf.STDEV.S(M2:M121)</f>
        <v>#NAME?</v>
      </c>
      <c r="C11" s="3" t="e">
        <f ca="1">_xludf.STDEV.S(N2:N121)</f>
        <v>#NAME?</v>
      </c>
      <c r="D11" s="3" t="s">
        <v>248</v>
      </c>
      <c r="M11">
        <f>IF('Raw Data'!$B11="Mentored",'Raw Data'!$J11,"")</f>
        <v>85.1</v>
      </c>
      <c r="N11" t="str">
        <f>IF('Raw Data'!$B11="Control",'Raw Data'!$J11,"")</f>
        <v/>
      </c>
      <c r="P11">
        <f>IF('Raw Data'!$B11="Mentored",'Raw Data'!$H11,"")</f>
        <v>61.5</v>
      </c>
      <c r="Q11">
        <f>IF('Raw Data'!$B11="Mentored",'Raw Data'!$I11,"")</f>
        <v>81.400000000000006</v>
      </c>
      <c r="R11">
        <f t="shared" si="0"/>
        <v>19.900000000000006</v>
      </c>
      <c r="T11" t="str">
        <f>IF('Raw Data'!$K11="Low",'Raw Data'!$J11,"")</f>
        <v/>
      </c>
      <c r="U11" t="str">
        <f>IF('Raw Data'!$K11="Medium",'Raw Data'!$J11,"")</f>
        <v/>
      </c>
      <c r="V11">
        <f>IF('Raw Data'!$K11="High",'Raw Data'!$J11,"")</f>
        <v>85.1</v>
      </c>
    </row>
    <row r="12" spans="1:22" x14ac:dyDescent="0.3">
      <c r="A12" s="27" t="s">
        <v>293</v>
      </c>
      <c r="B12" s="27" t="s">
        <v>248</v>
      </c>
      <c r="C12" s="27" t="s">
        <v>248</v>
      </c>
      <c r="D12" s="27" t="e">
        <f ca="1">(B10-C10)/SQRT((B11^2/B9)+(C11^2/C9))</f>
        <v>#NAME?</v>
      </c>
      <c r="M12" t="str">
        <f>IF('Raw Data'!$B12="Mentored",'Raw Data'!$J12,"")</f>
        <v/>
      </c>
      <c r="N12">
        <f>IF('Raw Data'!$B12="Control",'Raw Data'!$J12,"")</f>
        <v>81.3</v>
      </c>
      <c r="P12" t="str">
        <f>IF('Raw Data'!$B12="Mentored",'Raw Data'!$H12,"")</f>
        <v/>
      </c>
      <c r="Q12" t="str">
        <f>IF('Raw Data'!$B12="Mentored",'Raw Data'!$I12,"")</f>
        <v/>
      </c>
      <c r="R12" t="str">
        <f t="shared" si="0"/>
        <v/>
      </c>
      <c r="T12">
        <f>IF('Raw Data'!$K12="Low",'Raw Data'!$J12,"")</f>
        <v>81.3</v>
      </c>
      <c r="U12" t="str">
        <f>IF('Raw Data'!$K12="Medium",'Raw Data'!$J12,"")</f>
        <v/>
      </c>
      <c r="V12" t="str">
        <f>IF('Raw Data'!$K12="High",'Raw Data'!$J12,"")</f>
        <v/>
      </c>
    </row>
    <row r="13" spans="1:22" x14ac:dyDescent="0.3">
      <c r="A13" s="3" t="s">
        <v>294</v>
      </c>
      <c r="B13" s="3" t="s">
        <v>248</v>
      </c>
      <c r="C13" s="3" t="s">
        <v>248</v>
      </c>
      <c r="D13" s="3" t="e">
        <f ca="1">((B11^2/B9 + C11^2/C9)^2)/(((B11^2/B9)^2/(B9-1))+((C11^2/C9)^2/(C9-1)))</f>
        <v>#NAME?</v>
      </c>
      <c r="M13" t="str">
        <f>IF('Raw Data'!$B13="Mentored",'Raw Data'!$J13,"")</f>
        <v/>
      </c>
      <c r="N13">
        <f>IF('Raw Data'!$B13="Control",'Raw Data'!$J13,"")</f>
        <v>69.2</v>
      </c>
      <c r="P13" t="str">
        <f>IF('Raw Data'!$B13="Mentored",'Raw Data'!$H13,"")</f>
        <v/>
      </c>
      <c r="Q13" t="str">
        <f>IF('Raw Data'!$B13="Mentored",'Raw Data'!$I13,"")</f>
        <v/>
      </c>
      <c r="R13" t="str">
        <f t="shared" si="0"/>
        <v/>
      </c>
      <c r="T13">
        <f>IF('Raw Data'!$K13="Low",'Raw Data'!$J13,"")</f>
        <v>69.2</v>
      </c>
      <c r="U13" t="str">
        <f>IF('Raw Data'!$K13="Medium",'Raw Data'!$J13,"")</f>
        <v/>
      </c>
      <c r="V13" t="str">
        <f>IF('Raw Data'!$K13="High",'Raw Data'!$J13,"")</f>
        <v/>
      </c>
    </row>
    <row r="14" spans="1:22" x14ac:dyDescent="0.3">
      <c r="A14" s="27" t="s">
        <v>295</v>
      </c>
      <c r="B14" s="27" t="s">
        <v>248</v>
      </c>
      <c r="C14" s="27" t="s">
        <v>248</v>
      </c>
      <c r="D14" s="29" t="e">
        <f ca="1">TDIST(ABS(D12),ROUND(D13,0),2)</f>
        <v>#NAME?</v>
      </c>
      <c r="M14" t="str">
        <f>IF('Raw Data'!$B14="Mentored",'Raw Data'!$J14,"")</f>
        <v/>
      </c>
      <c r="N14">
        <f>IF('Raw Data'!$B14="Control",'Raw Data'!$J14,"")</f>
        <v>75.099999999999994</v>
      </c>
      <c r="P14" t="str">
        <f>IF('Raw Data'!$B14="Mentored",'Raw Data'!$H14,"")</f>
        <v/>
      </c>
      <c r="Q14" t="str">
        <f>IF('Raw Data'!$B14="Mentored",'Raw Data'!$I14,"")</f>
        <v/>
      </c>
      <c r="R14" t="str">
        <f t="shared" si="0"/>
        <v/>
      </c>
      <c r="T14">
        <f>IF('Raw Data'!$K14="Low",'Raw Data'!$J14,"")</f>
        <v>75.099999999999994</v>
      </c>
      <c r="U14" t="str">
        <f>IF('Raw Data'!$K14="Medium",'Raw Data'!$J14,"")</f>
        <v/>
      </c>
      <c r="V14" t="str">
        <f>IF('Raw Data'!$K14="High",'Raw Data'!$J14,"")</f>
        <v/>
      </c>
    </row>
    <row r="15" spans="1:22" x14ac:dyDescent="0.3">
      <c r="A15" s="3" t="s">
        <v>296</v>
      </c>
      <c r="B15" s="3" t="s">
        <v>248</v>
      </c>
      <c r="C15" s="3" t="s">
        <v>248</v>
      </c>
      <c r="D15" s="30" t="e">
        <f ca="1">(B10-C10)/SQRT((((B9-1)*B11^2)+((C9-1)*C11^2))/(B9+C9-2))</f>
        <v>#NAME?</v>
      </c>
      <c r="M15">
        <f>IF('Raw Data'!$B15="Mentored",'Raw Data'!$J15,"")</f>
        <v>81.2</v>
      </c>
      <c r="N15" t="str">
        <f>IF('Raw Data'!$B15="Control",'Raw Data'!$J15,"")</f>
        <v/>
      </c>
      <c r="P15">
        <f>IF('Raw Data'!$B15="Mentored",'Raw Data'!$H15,"")</f>
        <v>61.1</v>
      </c>
      <c r="Q15">
        <f>IF('Raw Data'!$B15="Mentored",'Raw Data'!$I15,"")</f>
        <v>67.2</v>
      </c>
      <c r="R15">
        <f t="shared" si="0"/>
        <v>6.1000000000000014</v>
      </c>
      <c r="T15" t="str">
        <f>IF('Raw Data'!$K15="Low",'Raw Data'!$J15,"")</f>
        <v/>
      </c>
      <c r="U15">
        <f>IF('Raw Data'!$K15="Medium",'Raw Data'!$J15,"")</f>
        <v>81.2</v>
      </c>
      <c r="V15" t="str">
        <f>IF('Raw Data'!$K15="High",'Raw Data'!$J15,"")</f>
        <v/>
      </c>
    </row>
    <row r="16" spans="1:22" ht="28.8" x14ac:dyDescent="0.3">
      <c r="A16" s="27" t="s">
        <v>297</v>
      </c>
      <c r="B16" s="27" t="s">
        <v>248</v>
      </c>
      <c r="C16" s="27" t="s">
        <v>248</v>
      </c>
      <c r="D16" s="27" t="e">
        <f ca="1">IF(D14&lt;0.05,"Reject H0: the mentored and control means differ significantly.","Fail to reject H0: no statistically significant difference in means.")</f>
        <v>#NAME?</v>
      </c>
      <c r="M16">
        <f>IF('Raw Data'!$B16="Mentored",'Raw Data'!$J16,"")</f>
        <v>74.599999999999994</v>
      </c>
      <c r="N16" t="str">
        <f>IF('Raw Data'!$B16="Control",'Raw Data'!$J16,"")</f>
        <v/>
      </c>
      <c r="P16">
        <f>IF('Raw Data'!$B16="Mentored",'Raw Data'!$H16,"")</f>
        <v>56.1</v>
      </c>
      <c r="Q16">
        <f>IF('Raw Data'!$B16="Mentored",'Raw Data'!$I16,"")</f>
        <v>69.400000000000006</v>
      </c>
      <c r="R16">
        <f t="shared" si="0"/>
        <v>13.300000000000004</v>
      </c>
      <c r="T16" t="str">
        <f>IF('Raw Data'!$K16="Low",'Raw Data'!$J16,"")</f>
        <v/>
      </c>
      <c r="U16">
        <f>IF('Raw Data'!$K16="Medium",'Raw Data'!$J16,"")</f>
        <v>74.599999999999994</v>
      </c>
      <c r="V16" t="str">
        <f>IF('Raw Data'!$K16="High",'Raw Data'!$J16,"")</f>
        <v/>
      </c>
    </row>
    <row r="17" spans="1:22" x14ac:dyDescent="0.3">
      <c r="M17" t="str">
        <f>IF('Raw Data'!$B17="Mentored",'Raw Data'!$J17,"")</f>
        <v/>
      </c>
      <c r="N17">
        <f>IF('Raw Data'!$B17="Control",'Raw Data'!$J17,"")</f>
        <v>77.2</v>
      </c>
      <c r="P17" t="str">
        <f>IF('Raw Data'!$B17="Mentored",'Raw Data'!$H17,"")</f>
        <v/>
      </c>
      <c r="Q17" t="str">
        <f>IF('Raw Data'!$B17="Mentored",'Raw Data'!$I17,"")</f>
        <v/>
      </c>
      <c r="R17" t="str">
        <f t="shared" si="0"/>
        <v/>
      </c>
      <c r="T17" t="str">
        <f>IF('Raw Data'!$K17="Low",'Raw Data'!$J17,"")</f>
        <v/>
      </c>
      <c r="U17">
        <f>IF('Raw Data'!$K17="Medium",'Raw Data'!$J17,"")</f>
        <v>77.2</v>
      </c>
      <c r="V17" t="str">
        <f>IF('Raw Data'!$K17="High",'Raw Data'!$J17,"")</f>
        <v/>
      </c>
    </row>
    <row r="18" spans="1:22" x14ac:dyDescent="0.3">
      <c r="M18" t="str">
        <f>IF('Raw Data'!$B18="Mentored",'Raw Data'!$J18,"")</f>
        <v/>
      </c>
      <c r="N18">
        <f>IF('Raw Data'!$B18="Control",'Raw Data'!$J18,"")</f>
        <v>84.1</v>
      </c>
      <c r="P18" t="str">
        <f>IF('Raw Data'!$B18="Mentored",'Raw Data'!$H18,"")</f>
        <v/>
      </c>
      <c r="Q18" t="str">
        <f>IF('Raw Data'!$B18="Mentored",'Raw Data'!$I18,"")</f>
        <v/>
      </c>
      <c r="R18" t="str">
        <f t="shared" si="0"/>
        <v/>
      </c>
      <c r="T18" t="str">
        <f>IF('Raw Data'!$K18="Low",'Raw Data'!$J18,"")</f>
        <v/>
      </c>
      <c r="U18">
        <f>IF('Raw Data'!$K18="Medium",'Raw Data'!$J18,"")</f>
        <v>84.1</v>
      </c>
      <c r="V18" t="str">
        <f>IF('Raw Data'!$K18="High",'Raw Data'!$J18,"")</f>
        <v/>
      </c>
    </row>
    <row r="19" spans="1:22" ht="15.6" x14ac:dyDescent="0.3">
      <c r="A19" s="63" t="s">
        <v>298</v>
      </c>
      <c r="B19" s="34"/>
      <c r="C19" s="34"/>
      <c r="D19" s="34"/>
      <c r="E19" s="34"/>
      <c r="F19" s="34"/>
      <c r="G19" s="34"/>
      <c r="H19" s="34"/>
      <c r="I19" s="34"/>
      <c r="M19">
        <f>IF('Raw Data'!$B19="Mentored",'Raw Data'!$J19,"")</f>
        <v>73</v>
      </c>
      <c r="N19" t="str">
        <f>IF('Raw Data'!$B19="Control",'Raw Data'!$J19,"")</f>
        <v/>
      </c>
      <c r="P19">
        <f>IF('Raw Data'!$B19="Mentored",'Raw Data'!$H19,"")</f>
        <v>62.9</v>
      </c>
      <c r="Q19">
        <f>IF('Raw Data'!$B19="Mentored",'Raw Data'!$I19,"")</f>
        <v>72.2</v>
      </c>
      <c r="R19">
        <f t="shared" si="0"/>
        <v>9.3000000000000043</v>
      </c>
      <c r="T19">
        <f>IF('Raw Data'!$K19="Low",'Raw Data'!$J19,"")</f>
        <v>73</v>
      </c>
      <c r="U19" t="str">
        <f>IF('Raw Data'!$K19="Medium",'Raw Data'!$J19,"")</f>
        <v/>
      </c>
      <c r="V19" t="str">
        <f>IF('Raw Data'!$K19="High",'Raw Data'!$J19,"")</f>
        <v/>
      </c>
    </row>
    <row r="20" spans="1:22" x14ac:dyDescent="0.3">
      <c r="A20" s="53" t="s">
        <v>299</v>
      </c>
      <c r="B20" s="54"/>
      <c r="C20" s="54"/>
      <c r="D20" s="54"/>
      <c r="E20" s="54"/>
      <c r="F20" s="54"/>
      <c r="G20" s="54"/>
      <c r="H20" s="54"/>
      <c r="I20" s="55"/>
      <c r="M20" t="str">
        <f>IF('Raw Data'!$B20="Mentored",'Raw Data'!$J20,"")</f>
        <v/>
      </c>
      <c r="N20">
        <f>IF('Raw Data'!$B20="Control",'Raw Data'!$J20,"")</f>
        <v>74.7</v>
      </c>
      <c r="P20" t="str">
        <f>IF('Raw Data'!$B20="Mentored",'Raw Data'!$H20,"")</f>
        <v/>
      </c>
      <c r="Q20" t="str">
        <f>IF('Raw Data'!$B20="Mentored",'Raw Data'!$I20,"")</f>
        <v/>
      </c>
      <c r="R20" t="str">
        <f t="shared" si="0"/>
        <v/>
      </c>
      <c r="T20">
        <f>IF('Raw Data'!$K20="Low",'Raw Data'!$J20,"")</f>
        <v>74.7</v>
      </c>
      <c r="U20" t="str">
        <f>IF('Raw Data'!$K20="Medium",'Raw Data'!$J20,"")</f>
        <v/>
      </c>
      <c r="V20" t="str">
        <f>IF('Raw Data'!$K20="High",'Raw Data'!$J20,"")</f>
        <v/>
      </c>
    </row>
    <row r="21" spans="1:22" x14ac:dyDescent="0.3">
      <c r="A21" s="58"/>
      <c r="B21" s="59"/>
      <c r="C21" s="59"/>
      <c r="D21" s="59"/>
      <c r="E21" s="59"/>
      <c r="F21" s="59"/>
      <c r="G21" s="59"/>
      <c r="H21" s="59"/>
      <c r="I21" s="60"/>
      <c r="M21" t="str">
        <f>IF('Raw Data'!$B21="Mentored",'Raw Data'!$J21,"")</f>
        <v/>
      </c>
      <c r="N21">
        <f>IF('Raw Data'!$B21="Control",'Raw Data'!$J21,"")</f>
        <v>77.900000000000006</v>
      </c>
      <c r="P21" t="str">
        <f>IF('Raw Data'!$B21="Mentored",'Raw Data'!$H21,"")</f>
        <v/>
      </c>
      <c r="Q21" t="str">
        <f>IF('Raw Data'!$B21="Mentored",'Raw Data'!$I21,"")</f>
        <v/>
      </c>
      <c r="R21" t="str">
        <f t="shared" si="0"/>
        <v/>
      </c>
      <c r="T21" t="str">
        <f>IF('Raw Data'!$K21="Low",'Raw Data'!$J21,"")</f>
        <v/>
      </c>
      <c r="U21">
        <f>IF('Raw Data'!$K21="Medium",'Raw Data'!$J21,"")</f>
        <v>77.900000000000006</v>
      </c>
      <c r="V21" t="str">
        <f>IF('Raw Data'!$K21="High",'Raw Data'!$J21,"")</f>
        <v/>
      </c>
    </row>
    <row r="22" spans="1:22" x14ac:dyDescent="0.3">
      <c r="M22" t="str">
        <f>IF('Raw Data'!$B22="Mentored",'Raw Data'!$J22,"")</f>
        <v/>
      </c>
      <c r="N22">
        <f>IF('Raw Data'!$B22="Control",'Raw Data'!$J22,"")</f>
        <v>71.099999999999994</v>
      </c>
      <c r="P22" t="str">
        <f>IF('Raw Data'!$B22="Mentored",'Raw Data'!$H22,"")</f>
        <v/>
      </c>
      <c r="Q22" t="str">
        <f>IF('Raw Data'!$B22="Mentored",'Raw Data'!$I22,"")</f>
        <v/>
      </c>
      <c r="R22" t="str">
        <f t="shared" si="0"/>
        <v/>
      </c>
      <c r="T22" t="str">
        <f>IF('Raw Data'!$K22="Low",'Raw Data'!$J22,"")</f>
        <v/>
      </c>
      <c r="U22">
        <f>IF('Raw Data'!$K22="Medium",'Raw Data'!$J22,"")</f>
        <v>71.099999999999994</v>
      </c>
      <c r="V22" t="str">
        <f>IF('Raw Data'!$K22="High",'Raw Data'!$J22,"")</f>
        <v/>
      </c>
    </row>
    <row r="23" spans="1:22" x14ac:dyDescent="0.3">
      <c r="A23" s="9" t="s">
        <v>269</v>
      </c>
      <c r="B23" s="9" t="s">
        <v>300</v>
      </c>
      <c r="M23">
        <f>IF('Raw Data'!$B23="Mentored",'Raw Data'!$J23,"")</f>
        <v>83.3</v>
      </c>
      <c r="N23" t="str">
        <f>IF('Raw Data'!$B23="Control",'Raw Data'!$J23,"")</f>
        <v/>
      </c>
      <c r="P23">
        <f>IF('Raw Data'!$B23="Mentored",'Raw Data'!$H23,"")</f>
        <v>53.1</v>
      </c>
      <c r="Q23">
        <f>IF('Raw Data'!$B23="Mentored",'Raw Data'!$I23,"")</f>
        <v>69.599999999999994</v>
      </c>
      <c r="R23">
        <f t="shared" si="0"/>
        <v>16.499999999999993</v>
      </c>
      <c r="T23" t="str">
        <f>IF('Raw Data'!$K23="Low",'Raw Data'!$J23,"")</f>
        <v/>
      </c>
      <c r="U23" t="str">
        <f>IF('Raw Data'!$K23="Medium",'Raw Data'!$J23,"")</f>
        <v/>
      </c>
      <c r="V23">
        <f>IF('Raw Data'!$K23="High",'Raw Data'!$J23,"")</f>
        <v>83.3</v>
      </c>
    </row>
    <row r="24" spans="1:22" ht="28.8" x14ac:dyDescent="0.3">
      <c r="A24" s="27" t="s">
        <v>301</v>
      </c>
      <c r="B24" s="31">
        <f>COUNT(R2:R121)</f>
        <v>60</v>
      </c>
      <c r="M24">
        <f>IF('Raw Data'!$B24="Mentored",'Raw Data'!$J24,"")</f>
        <v>74.8</v>
      </c>
      <c r="N24" t="str">
        <f>IF('Raw Data'!$B24="Control",'Raw Data'!$J24,"")</f>
        <v/>
      </c>
      <c r="P24">
        <f>IF('Raw Data'!$B24="Mentored",'Raw Data'!$H24,"")</f>
        <v>59.7</v>
      </c>
      <c r="Q24">
        <f>IF('Raw Data'!$B24="Mentored",'Raw Data'!$I24,"")</f>
        <v>73.5</v>
      </c>
      <c r="R24">
        <f t="shared" si="0"/>
        <v>13.799999999999997</v>
      </c>
      <c r="T24" t="str">
        <f>IF('Raw Data'!$K24="Low",'Raw Data'!$J24,"")</f>
        <v/>
      </c>
      <c r="U24">
        <f>IF('Raw Data'!$K24="Medium",'Raw Data'!$J24,"")</f>
        <v>74.8</v>
      </c>
      <c r="V24" t="str">
        <f>IF('Raw Data'!$K24="High",'Raw Data'!$J24,"")</f>
        <v/>
      </c>
    </row>
    <row r="25" spans="1:22" x14ac:dyDescent="0.3">
      <c r="A25" s="3" t="s">
        <v>302</v>
      </c>
      <c r="B25" s="32">
        <f>AVERAGE(P2:P121)</f>
        <v>59.648333333333333</v>
      </c>
      <c r="M25" t="str">
        <f>IF('Raw Data'!$B25="Mentored",'Raw Data'!$J25,"")</f>
        <v/>
      </c>
      <c r="N25">
        <f>IF('Raw Data'!$B25="Control",'Raw Data'!$J25,"")</f>
        <v>76.2</v>
      </c>
      <c r="P25" t="str">
        <f>IF('Raw Data'!$B25="Mentored",'Raw Data'!$H25,"")</f>
        <v/>
      </c>
      <c r="Q25" t="str">
        <f>IF('Raw Data'!$B25="Mentored",'Raw Data'!$I25,"")</f>
        <v/>
      </c>
      <c r="R25" t="str">
        <f t="shared" si="0"/>
        <v/>
      </c>
      <c r="T25" t="str">
        <f>IF('Raw Data'!$K25="Low",'Raw Data'!$J25,"")</f>
        <v/>
      </c>
      <c r="U25">
        <f>IF('Raw Data'!$K25="Medium",'Raw Data'!$J25,"")</f>
        <v>76.2</v>
      </c>
      <c r="V25" t="str">
        <f>IF('Raw Data'!$K25="High",'Raw Data'!$J25,"")</f>
        <v/>
      </c>
    </row>
    <row r="26" spans="1:22" x14ac:dyDescent="0.3">
      <c r="A26" s="27" t="s">
        <v>303</v>
      </c>
      <c r="B26" s="28">
        <f>AVERAGE(Q2:Q121)</f>
        <v>73.881666666666646</v>
      </c>
      <c r="M26">
        <f>IF('Raw Data'!$B26="Mentored",'Raw Data'!$J26,"")</f>
        <v>71.2</v>
      </c>
      <c r="N26" t="str">
        <f>IF('Raw Data'!$B26="Control",'Raw Data'!$J26,"")</f>
        <v/>
      </c>
      <c r="P26">
        <f>IF('Raw Data'!$B26="Mentored",'Raw Data'!$H26,"")</f>
        <v>59</v>
      </c>
      <c r="Q26">
        <f>IF('Raw Data'!$B26="Mentored",'Raw Data'!$I26,"")</f>
        <v>72.3</v>
      </c>
      <c r="R26">
        <f t="shared" si="0"/>
        <v>13.299999999999997</v>
      </c>
      <c r="T26" t="str">
        <f>IF('Raw Data'!$K26="Low",'Raw Data'!$J26,"")</f>
        <v/>
      </c>
      <c r="U26">
        <f>IF('Raw Data'!$K26="Medium",'Raw Data'!$J26,"")</f>
        <v>71.2</v>
      </c>
      <c r="V26" t="str">
        <f>IF('Raw Data'!$K26="High",'Raw Data'!$J26,"")</f>
        <v/>
      </c>
    </row>
    <row r="27" spans="1:22" x14ac:dyDescent="0.3">
      <c r="A27" s="3" t="s">
        <v>304</v>
      </c>
      <c r="B27" s="32">
        <f>AVERAGE(R2:R121)</f>
        <v>14.233333333333336</v>
      </c>
      <c r="M27">
        <f>IF('Raw Data'!$B27="Mentored",'Raw Data'!$J27,"")</f>
        <v>76</v>
      </c>
      <c r="N27" t="str">
        <f>IF('Raw Data'!$B27="Control",'Raw Data'!$J27,"")</f>
        <v/>
      </c>
      <c r="P27">
        <f>IF('Raw Data'!$B27="Mentored",'Raw Data'!$H27,"")</f>
        <v>57</v>
      </c>
      <c r="Q27">
        <f>IF('Raw Data'!$B27="Mentored",'Raw Data'!$I27,"")</f>
        <v>72.7</v>
      </c>
      <c r="R27">
        <f t="shared" si="0"/>
        <v>15.700000000000003</v>
      </c>
      <c r="T27" t="str">
        <f>IF('Raw Data'!$K27="Low",'Raw Data'!$J27,"")</f>
        <v/>
      </c>
      <c r="U27">
        <f>IF('Raw Data'!$K27="Medium",'Raw Data'!$J27,"")</f>
        <v>76</v>
      </c>
      <c r="V27" t="str">
        <f>IF('Raw Data'!$K27="High",'Raw Data'!$J27,"")</f>
        <v/>
      </c>
    </row>
    <row r="28" spans="1:22" x14ac:dyDescent="0.3">
      <c r="A28" s="27" t="s">
        <v>305</v>
      </c>
      <c r="B28" s="27" t="e">
        <f ca="1">_xludf.STDEV.S(R2:R121)</f>
        <v>#NAME?</v>
      </c>
      <c r="M28" t="str">
        <f>IF('Raw Data'!$B28="Mentored",'Raw Data'!$J28,"")</f>
        <v/>
      </c>
      <c r="N28">
        <f>IF('Raw Data'!$B28="Control",'Raw Data'!$J28,"")</f>
        <v>79.3</v>
      </c>
      <c r="P28" t="str">
        <f>IF('Raw Data'!$B28="Mentored",'Raw Data'!$H28,"")</f>
        <v/>
      </c>
      <c r="Q28" t="str">
        <f>IF('Raw Data'!$B28="Mentored",'Raw Data'!$I28,"")</f>
        <v/>
      </c>
      <c r="R28" t="str">
        <f t="shared" si="0"/>
        <v/>
      </c>
      <c r="T28" t="str">
        <f>IF('Raw Data'!$K28="Low",'Raw Data'!$J28,"")</f>
        <v/>
      </c>
      <c r="U28">
        <f>IF('Raw Data'!$K28="Medium",'Raw Data'!$J28,"")</f>
        <v>79.3</v>
      </c>
      <c r="V28" t="str">
        <f>IF('Raw Data'!$K28="High",'Raw Data'!$J28,"")</f>
        <v/>
      </c>
    </row>
    <row r="29" spans="1:22" x14ac:dyDescent="0.3">
      <c r="A29" s="3" t="s">
        <v>306</v>
      </c>
      <c r="B29" s="3" t="e">
        <f ca="1">B27/(B28/SQRT(B24))</f>
        <v>#NAME?</v>
      </c>
      <c r="M29" t="str">
        <f>IF('Raw Data'!$B29="Mentored",'Raw Data'!$J29,"")</f>
        <v/>
      </c>
      <c r="N29">
        <f>IF('Raw Data'!$B29="Control",'Raw Data'!$J29,"")</f>
        <v>83</v>
      </c>
      <c r="P29" t="str">
        <f>IF('Raw Data'!$B29="Mentored",'Raw Data'!$H29,"")</f>
        <v/>
      </c>
      <c r="Q29" t="str">
        <f>IF('Raw Data'!$B29="Mentored",'Raw Data'!$I29,"")</f>
        <v/>
      </c>
      <c r="R29" t="str">
        <f t="shared" si="0"/>
        <v/>
      </c>
      <c r="T29" t="str">
        <f>IF('Raw Data'!$K29="Low",'Raw Data'!$J29,"")</f>
        <v/>
      </c>
      <c r="U29" t="str">
        <f>IF('Raw Data'!$K29="Medium",'Raw Data'!$J29,"")</f>
        <v/>
      </c>
      <c r="V29">
        <f>IF('Raw Data'!$K29="High",'Raw Data'!$J29,"")</f>
        <v>83</v>
      </c>
    </row>
    <row r="30" spans="1:22" x14ac:dyDescent="0.3">
      <c r="A30" s="27" t="s">
        <v>294</v>
      </c>
      <c r="B30" s="27">
        <f>B24-1</f>
        <v>59</v>
      </c>
      <c r="M30" t="str">
        <f>IF('Raw Data'!$B30="Mentored",'Raw Data'!$J30,"")</f>
        <v/>
      </c>
      <c r="N30">
        <f>IF('Raw Data'!$B30="Control",'Raw Data'!$J30,"")</f>
        <v>63.2</v>
      </c>
      <c r="P30" t="str">
        <f>IF('Raw Data'!$B30="Mentored",'Raw Data'!$H30,"")</f>
        <v/>
      </c>
      <c r="Q30" t="str">
        <f>IF('Raw Data'!$B30="Mentored",'Raw Data'!$I30,"")</f>
        <v/>
      </c>
      <c r="R30" t="str">
        <f t="shared" si="0"/>
        <v/>
      </c>
      <c r="T30" t="str">
        <f>IF('Raw Data'!$K30="Low",'Raw Data'!$J30,"")</f>
        <v/>
      </c>
      <c r="U30">
        <f>IF('Raw Data'!$K30="Medium",'Raw Data'!$J30,"")</f>
        <v>63.2</v>
      </c>
      <c r="V30" t="str">
        <f>IF('Raw Data'!$K30="High",'Raw Data'!$J30,"")</f>
        <v/>
      </c>
    </row>
    <row r="31" spans="1:22" x14ac:dyDescent="0.3">
      <c r="A31" s="3" t="s">
        <v>295</v>
      </c>
      <c r="B31" s="30" t="e">
        <f ca="1">TDIST(ABS(B29),B30,2)</f>
        <v>#NAME?</v>
      </c>
      <c r="M31" t="str">
        <f>IF('Raw Data'!$B31="Mentored",'Raw Data'!$J31,"")</f>
        <v/>
      </c>
      <c r="N31">
        <f>IF('Raw Data'!$B31="Control",'Raw Data'!$J31,"")</f>
        <v>81.900000000000006</v>
      </c>
      <c r="P31" t="str">
        <f>IF('Raw Data'!$B31="Mentored",'Raw Data'!$H31,"")</f>
        <v/>
      </c>
      <c r="Q31" t="str">
        <f>IF('Raw Data'!$B31="Mentored",'Raw Data'!$I31,"")</f>
        <v/>
      </c>
      <c r="R31" t="str">
        <f t="shared" si="0"/>
        <v/>
      </c>
      <c r="T31" t="str">
        <f>IF('Raw Data'!$K31="Low",'Raw Data'!$J31,"")</f>
        <v/>
      </c>
      <c r="U31" t="str">
        <f>IF('Raw Data'!$K31="Medium",'Raw Data'!$J31,"")</f>
        <v/>
      </c>
      <c r="V31">
        <f>IF('Raw Data'!$K31="High",'Raw Data'!$J31,"")</f>
        <v>81.900000000000006</v>
      </c>
    </row>
    <row r="32" spans="1:22" x14ac:dyDescent="0.3">
      <c r="A32" s="27" t="s">
        <v>297</v>
      </c>
      <c r="B32" s="27" t="e">
        <f ca="1">IF(B31&lt;0.05,"Reject H0: mentored students improved significantly over time.","Fail to reject H0: mean improvement is not statistically significant.")</f>
        <v>#NAME?</v>
      </c>
      <c r="M32">
        <f>IF('Raw Data'!$B32="Mentored",'Raw Data'!$J32,"")</f>
        <v>83.2</v>
      </c>
      <c r="N32" t="str">
        <f>IF('Raw Data'!$B32="Control",'Raw Data'!$J32,"")</f>
        <v/>
      </c>
      <c r="P32">
        <f>IF('Raw Data'!$B32="Mentored",'Raw Data'!$H32,"")</f>
        <v>58.6</v>
      </c>
      <c r="Q32">
        <f>IF('Raw Data'!$B32="Mentored",'Raw Data'!$I32,"")</f>
        <v>70.8</v>
      </c>
      <c r="R32">
        <f t="shared" si="0"/>
        <v>12.199999999999996</v>
      </c>
      <c r="T32" t="str">
        <f>IF('Raw Data'!$K32="Low",'Raw Data'!$J32,"")</f>
        <v/>
      </c>
      <c r="U32" t="str">
        <f>IF('Raw Data'!$K32="Medium",'Raw Data'!$J32,"")</f>
        <v/>
      </c>
      <c r="V32">
        <f>IF('Raw Data'!$K32="High",'Raw Data'!$J32,"")</f>
        <v>83.2</v>
      </c>
    </row>
    <row r="33" spans="1:22" x14ac:dyDescent="0.3">
      <c r="M33">
        <f>IF('Raw Data'!$B33="Mentored",'Raw Data'!$J33,"")</f>
        <v>90.9</v>
      </c>
      <c r="N33" t="str">
        <f>IF('Raw Data'!$B33="Control",'Raw Data'!$J33,"")</f>
        <v/>
      </c>
      <c r="P33">
        <f>IF('Raw Data'!$B33="Mentored",'Raw Data'!$H33,"")</f>
        <v>65.099999999999994</v>
      </c>
      <c r="Q33">
        <f>IF('Raw Data'!$B33="Mentored",'Raw Data'!$I33,"")</f>
        <v>81.7</v>
      </c>
      <c r="R33">
        <f t="shared" si="0"/>
        <v>16.600000000000009</v>
      </c>
      <c r="T33" t="str">
        <f>IF('Raw Data'!$K33="Low",'Raw Data'!$J33,"")</f>
        <v/>
      </c>
      <c r="U33" t="str">
        <f>IF('Raw Data'!$K33="Medium",'Raw Data'!$J33,"")</f>
        <v/>
      </c>
      <c r="V33">
        <f>IF('Raw Data'!$K33="High",'Raw Data'!$J33,"")</f>
        <v>90.9</v>
      </c>
    </row>
    <row r="34" spans="1:22" ht="15.6" x14ac:dyDescent="0.3">
      <c r="A34" s="63" t="s">
        <v>307</v>
      </c>
      <c r="B34" s="34"/>
      <c r="C34" s="34"/>
      <c r="D34" s="34"/>
      <c r="E34" s="34"/>
      <c r="F34" s="34"/>
      <c r="G34" s="34"/>
      <c r="H34" s="34"/>
      <c r="I34" s="34"/>
      <c r="M34" t="str">
        <f>IF('Raw Data'!$B34="Mentored",'Raw Data'!$J34,"")</f>
        <v/>
      </c>
      <c r="N34">
        <f>IF('Raw Data'!$B34="Control",'Raw Data'!$J34,"")</f>
        <v>69.599999999999994</v>
      </c>
      <c r="P34" t="str">
        <f>IF('Raw Data'!$B34="Mentored",'Raw Data'!$H34,"")</f>
        <v/>
      </c>
      <c r="Q34" t="str">
        <f>IF('Raw Data'!$B34="Mentored",'Raw Data'!$I34,"")</f>
        <v/>
      </c>
      <c r="R34" t="str">
        <f t="shared" ref="R34:R65" si="1">IF(AND(P34&lt;&gt;"",Q34&lt;&gt;""),Q34-P34,"")</f>
        <v/>
      </c>
      <c r="T34">
        <f>IF('Raw Data'!$K34="Low",'Raw Data'!$J34,"")</f>
        <v>69.599999999999994</v>
      </c>
      <c r="U34" t="str">
        <f>IF('Raw Data'!$K34="Medium",'Raw Data'!$J34,"")</f>
        <v/>
      </c>
      <c r="V34" t="str">
        <f>IF('Raw Data'!$K34="High",'Raw Data'!$J34,"")</f>
        <v/>
      </c>
    </row>
    <row r="35" spans="1:22" x14ac:dyDescent="0.3">
      <c r="A35" s="53" t="s">
        <v>308</v>
      </c>
      <c r="B35" s="54"/>
      <c r="C35" s="54"/>
      <c r="D35" s="54"/>
      <c r="E35" s="54"/>
      <c r="F35" s="54"/>
      <c r="G35" s="54"/>
      <c r="H35" s="54"/>
      <c r="I35" s="55"/>
      <c r="M35">
        <f>IF('Raw Data'!$B35="Mentored",'Raw Data'!$J35,"")</f>
        <v>81.5</v>
      </c>
      <c r="N35" t="str">
        <f>IF('Raw Data'!$B35="Control",'Raw Data'!$J35,"")</f>
        <v/>
      </c>
      <c r="P35">
        <f>IF('Raw Data'!$B35="Mentored",'Raw Data'!$H35,"")</f>
        <v>53.4</v>
      </c>
      <c r="Q35">
        <f>IF('Raw Data'!$B35="Mentored",'Raw Data'!$I35,"")</f>
        <v>72.099999999999994</v>
      </c>
      <c r="R35">
        <f t="shared" si="1"/>
        <v>18.699999999999996</v>
      </c>
      <c r="T35" t="str">
        <f>IF('Raw Data'!$K35="Low",'Raw Data'!$J35,"")</f>
        <v/>
      </c>
      <c r="U35" t="str">
        <f>IF('Raw Data'!$K35="Medium",'Raw Data'!$J35,"")</f>
        <v/>
      </c>
      <c r="V35">
        <f>IF('Raw Data'!$K35="High",'Raw Data'!$J35,"")</f>
        <v>81.5</v>
      </c>
    </row>
    <row r="36" spans="1:22" x14ac:dyDescent="0.3">
      <c r="A36" s="58"/>
      <c r="B36" s="59"/>
      <c r="C36" s="59"/>
      <c r="D36" s="59"/>
      <c r="E36" s="59"/>
      <c r="F36" s="59"/>
      <c r="G36" s="59"/>
      <c r="H36" s="59"/>
      <c r="I36" s="60"/>
      <c r="M36">
        <f>IF('Raw Data'!$B36="Mentored",'Raw Data'!$J36,"")</f>
        <v>73.099999999999994</v>
      </c>
      <c r="N36" t="str">
        <f>IF('Raw Data'!$B36="Control",'Raw Data'!$J36,"")</f>
        <v/>
      </c>
      <c r="P36">
        <f>IF('Raw Data'!$B36="Mentored",'Raw Data'!$H36,"")</f>
        <v>56.2</v>
      </c>
      <c r="Q36">
        <f>IF('Raw Data'!$B36="Mentored",'Raw Data'!$I36,"")</f>
        <v>69.099999999999994</v>
      </c>
      <c r="R36">
        <f t="shared" si="1"/>
        <v>12.899999999999991</v>
      </c>
      <c r="T36" t="str">
        <f>IF('Raw Data'!$K36="Low",'Raw Data'!$J36,"")</f>
        <v/>
      </c>
      <c r="U36">
        <f>IF('Raw Data'!$K36="Medium",'Raw Data'!$J36,"")</f>
        <v>73.099999999999994</v>
      </c>
      <c r="V36" t="str">
        <f>IF('Raw Data'!$K36="High",'Raw Data'!$J36,"")</f>
        <v/>
      </c>
    </row>
    <row r="37" spans="1:22" x14ac:dyDescent="0.3">
      <c r="M37">
        <f>IF('Raw Data'!$B37="Mentored",'Raw Data'!$J37,"")</f>
        <v>90.1</v>
      </c>
      <c r="N37" t="str">
        <f>IF('Raw Data'!$B37="Control",'Raw Data'!$J37,"")</f>
        <v/>
      </c>
      <c r="P37">
        <f>IF('Raw Data'!$B37="Mentored",'Raw Data'!$H37,"")</f>
        <v>71.7</v>
      </c>
      <c r="Q37">
        <f>IF('Raw Data'!$B37="Mentored",'Raw Data'!$I37,"")</f>
        <v>88</v>
      </c>
      <c r="R37">
        <f t="shared" si="1"/>
        <v>16.299999999999997</v>
      </c>
      <c r="T37" t="str">
        <f>IF('Raw Data'!$K37="Low",'Raw Data'!$J37,"")</f>
        <v/>
      </c>
      <c r="U37">
        <f>IF('Raw Data'!$K37="Medium",'Raw Data'!$J37,"")</f>
        <v>90.1</v>
      </c>
      <c r="V37" t="str">
        <f>IF('Raw Data'!$K37="High",'Raw Data'!$J37,"")</f>
        <v/>
      </c>
    </row>
    <row r="38" spans="1:22" x14ac:dyDescent="0.3">
      <c r="A38" s="9" t="s">
        <v>269</v>
      </c>
      <c r="B38" s="9" t="s">
        <v>300</v>
      </c>
      <c r="M38" t="str">
        <f>IF('Raw Data'!$B38="Mentored",'Raw Data'!$J38,"")</f>
        <v/>
      </c>
      <c r="N38">
        <f>IF('Raw Data'!$B38="Control",'Raw Data'!$J38,"")</f>
        <v>63.5</v>
      </c>
      <c r="P38" t="str">
        <f>IF('Raw Data'!$B38="Mentored",'Raw Data'!$H38,"")</f>
        <v/>
      </c>
      <c r="Q38" t="str">
        <f>IF('Raw Data'!$B38="Mentored",'Raw Data'!$I38,"")</f>
        <v/>
      </c>
      <c r="R38" t="str">
        <f t="shared" si="1"/>
        <v/>
      </c>
      <c r="T38" t="str">
        <f>IF('Raw Data'!$K38="Low",'Raw Data'!$J38,"")</f>
        <v/>
      </c>
      <c r="U38">
        <f>IF('Raw Data'!$K38="Medium",'Raw Data'!$J38,"")</f>
        <v>63.5</v>
      </c>
      <c r="V38" t="str">
        <f>IF('Raw Data'!$K38="High",'Raw Data'!$J38,"")</f>
        <v/>
      </c>
    </row>
    <row r="39" spans="1:22" x14ac:dyDescent="0.3">
      <c r="A39" s="3" t="s">
        <v>271</v>
      </c>
      <c r="B39" s="26">
        <f>COUNT('Raw Data'!E2:E121)</f>
        <v>120</v>
      </c>
      <c r="M39">
        <f>IF('Raw Data'!$B39="Mentored",'Raw Data'!$J39,"")</f>
        <v>78.599999999999994</v>
      </c>
      <c r="N39" t="str">
        <f>IF('Raw Data'!$B39="Control",'Raw Data'!$J39,"")</f>
        <v/>
      </c>
      <c r="P39">
        <f>IF('Raw Data'!$B39="Mentored",'Raw Data'!$H39,"")</f>
        <v>44.2</v>
      </c>
      <c r="Q39">
        <f>IF('Raw Data'!$B39="Mentored",'Raw Data'!$I39,"")</f>
        <v>63.3</v>
      </c>
      <c r="R39">
        <f t="shared" si="1"/>
        <v>19.099999999999994</v>
      </c>
      <c r="T39" t="str">
        <f>IF('Raw Data'!$K39="Low",'Raw Data'!$J39,"")</f>
        <v/>
      </c>
      <c r="U39" t="str">
        <f>IF('Raw Data'!$K39="Medium",'Raw Data'!$J39,"")</f>
        <v/>
      </c>
      <c r="V39">
        <f>IF('Raw Data'!$K39="High",'Raw Data'!$J39,"")</f>
        <v>78.599999999999994</v>
      </c>
    </row>
    <row r="40" spans="1:22" x14ac:dyDescent="0.3">
      <c r="A40" s="27" t="s">
        <v>309</v>
      </c>
      <c r="B40" s="27">
        <f>CORREL('Raw Data'!E2:E121,'Raw Data'!J2:J121)</f>
        <v>0.5212061061053157</v>
      </c>
      <c r="M40">
        <f>IF('Raw Data'!$B40="Mentored",'Raw Data'!$J40,"")</f>
        <v>71</v>
      </c>
      <c r="N40" t="str">
        <f>IF('Raw Data'!$B40="Control",'Raw Data'!$J40,"")</f>
        <v/>
      </c>
      <c r="P40">
        <f>IF('Raw Data'!$B40="Mentored",'Raw Data'!$H40,"")</f>
        <v>48.8</v>
      </c>
      <c r="Q40">
        <f>IF('Raw Data'!$B40="Mentored",'Raw Data'!$I40,"")</f>
        <v>64.2</v>
      </c>
      <c r="R40">
        <f t="shared" si="1"/>
        <v>15.400000000000006</v>
      </c>
      <c r="T40">
        <f>IF('Raw Data'!$K40="Low",'Raw Data'!$J40,"")</f>
        <v>71</v>
      </c>
      <c r="U40" t="str">
        <f>IF('Raw Data'!$K40="Medium",'Raw Data'!$J40,"")</f>
        <v/>
      </c>
      <c r="V40" t="str">
        <f>IF('Raw Data'!$K40="High",'Raw Data'!$J40,"")</f>
        <v/>
      </c>
    </row>
    <row r="41" spans="1:22" x14ac:dyDescent="0.3">
      <c r="A41" s="3" t="s">
        <v>310</v>
      </c>
      <c r="B41" s="3">
        <f>B40*SQRT((B39-2)/(1-B40^2))</f>
        <v>6.6341023435406949</v>
      </c>
      <c r="M41">
        <f>IF('Raw Data'!$B41="Mentored",'Raw Data'!$J41,"")</f>
        <v>89.2</v>
      </c>
      <c r="N41" t="str">
        <f>IF('Raw Data'!$B41="Control",'Raw Data'!$J41,"")</f>
        <v/>
      </c>
      <c r="P41">
        <f>IF('Raw Data'!$B41="Mentored",'Raw Data'!$H41,"")</f>
        <v>64.400000000000006</v>
      </c>
      <c r="Q41">
        <f>IF('Raw Data'!$B41="Mentored",'Raw Data'!$I41,"")</f>
        <v>80.5</v>
      </c>
      <c r="R41">
        <f t="shared" si="1"/>
        <v>16.099999999999994</v>
      </c>
      <c r="T41" t="str">
        <f>IF('Raw Data'!$K41="Low",'Raw Data'!$J41,"")</f>
        <v/>
      </c>
      <c r="U41" t="str">
        <f>IF('Raw Data'!$K41="Medium",'Raw Data'!$J41,"")</f>
        <v/>
      </c>
      <c r="V41">
        <f>IF('Raw Data'!$K41="High",'Raw Data'!$J41,"")</f>
        <v>89.2</v>
      </c>
    </row>
    <row r="42" spans="1:22" x14ac:dyDescent="0.3">
      <c r="A42" s="27" t="s">
        <v>295</v>
      </c>
      <c r="B42" s="29">
        <f>TDIST(ABS(B41),B39-2,2)</f>
        <v>1.0392291806810261E-9</v>
      </c>
      <c r="M42" t="str">
        <f>IF('Raw Data'!$B42="Mentored",'Raw Data'!$J42,"")</f>
        <v/>
      </c>
      <c r="N42">
        <f>IF('Raw Data'!$B42="Control",'Raw Data'!$J42,"")</f>
        <v>66.3</v>
      </c>
      <c r="P42" t="str">
        <f>IF('Raw Data'!$B42="Mentored",'Raw Data'!$H42,"")</f>
        <v/>
      </c>
      <c r="Q42" t="str">
        <f>IF('Raw Data'!$B42="Mentored",'Raw Data'!$I42,"")</f>
        <v/>
      </c>
      <c r="R42" t="str">
        <f t="shared" si="1"/>
        <v/>
      </c>
      <c r="T42" t="str">
        <f>IF('Raw Data'!$K42="Low",'Raw Data'!$J42,"")</f>
        <v/>
      </c>
      <c r="U42" t="str">
        <f>IF('Raw Data'!$K42="Medium",'Raw Data'!$J42,"")</f>
        <v/>
      </c>
      <c r="V42">
        <f>IF('Raw Data'!$K42="High",'Raw Data'!$J42,"")</f>
        <v>66.3</v>
      </c>
    </row>
    <row r="43" spans="1:22" x14ac:dyDescent="0.3">
      <c r="A43" s="3" t="s">
        <v>311</v>
      </c>
      <c r="B43" s="3">
        <f>SLOPE('Raw Data'!J2:J121,'Raw Data'!E2:E121)</f>
        <v>2.3165656215762702</v>
      </c>
      <c r="M43">
        <f>IF('Raw Data'!$B43="Mentored",'Raw Data'!$J43,"")</f>
        <v>85.1</v>
      </c>
      <c r="N43" t="str">
        <f>IF('Raw Data'!$B43="Control",'Raw Data'!$J43,"")</f>
        <v/>
      </c>
      <c r="P43">
        <f>IF('Raw Data'!$B43="Mentored",'Raw Data'!$H43,"")</f>
        <v>60.9</v>
      </c>
      <c r="Q43">
        <f>IF('Raw Data'!$B43="Mentored",'Raw Data'!$I43,"")</f>
        <v>64.400000000000006</v>
      </c>
      <c r="R43">
        <f t="shared" si="1"/>
        <v>3.5000000000000071</v>
      </c>
      <c r="T43" t="str">
        <f>IF('Raw Data'!$K43="Low",'Raw Data'!$J43,"")</f>
        <v/>
      </c>
      <c r="U43" t="str">
        <f>IF('Raw Data'!$K43="Medium",'Raw Data'!$J43,"")</f>
        <v/>
      </c>
      <c r="V43">
        <f>IF('Raw Data'!$K43="High",'Raw Data'!$J43,"")</f>
        <v>85.1</v>
      </c>
    </row>
    <row r="44" spans="1:22" x14ac:dyDescent="0.3">
      <c r="A44" s="27" t="s">
        <v>312</v>
      </c>
      <c r="B44" s="27">
        <f>INTERCEPT('Raw Data'!J2:J121,'Raw Data'!E2:E121)</f>
        <v>60.744041332222139</v>
      </c>
      <c r="M44" t="str">
        <f>IF('Raw Data'!$B44="Mentored",'Raw Data'!$J44,"")</f>
        <v/>
      </c>
      <c r="N44">
        <f>IF('Raw Data'!$B44="Control",'Raw Data'!$J44,"")</f>
        <v>86</v>
      </c>
      <c r="P44" t="str">
        <f>IF('Raw Data'!$B44="Mentored",'Raw Data'!$H44,"")</f>
        <v/>
      </c>
      <c r="Q44" t="str">
        <f>IF('Raw Data'!$B44="Mentored",'Raw Data'!$I44,"")</f>
        <v/>
      </c>
      <c r="R44" t="str">
        <f t="shared" si="1"/>
        <v/>
      </c>
      <c r="T44" t="str">
        <f>IF('Raw Data'!$K44="Low",'Raw Data'!$J44,"")</f>
        <v/>
      </c>
      <c r="U44">
        <f>IF('Raw Data'!$K44="Medium",'Raw Data'!$J44,"")</f>
        <v>86</v>
      </c>
      <c r="V44" t="str">
        <f>IF('Raw Data'!$K44="High",'Raw Data'!$J44,"")</f>
        <v/>
      </c>
    </row>
    <row r="45" spans="1:22" x14ac:dyDescent="0.3">
      <c r="A45" s="3" t="s">
        <v>313</v>
      </c>
      <c r="B45" s="3">
        <f>RSQ('Raw Data'!J2:J121,'Raw Data'!E2:E121)</f>
        <v>0.27165580504146575</v>
      </c>
      <c r="M45" t="str">
        <f>IF('Raw Data'!$B45="Mentored",'Raw Data'!$J45,"")</f>
        <v/>
      </c>
      <c r="N45">
        <f>IF('Raw Data'!$B45="Control",'Raw Data'!$J45,"")</f>
        <v>71.8</v>
      </c>
      <c r="P45" t="str">
        <f>IF('Raw Data'!$B45="Mentored",'Raw Data'!$H45,"")</f>
        <v/>
      </c>
      <c r="Q45" t="str">
        <f>IF('Raw Data'!$B45="Mentored",'Raw Data'!$I45,"")</f>
        <v/>
      </c>
      <c r="R45" t="str">
        <f t="shared" si="1"/>
        <v/>
      </c>
      <c r="T45" t="str">
        <f>IF('Raw Data'!$K45="Low",'Raw Data'!$J45,"")</f>
        <v/>
      </c>
      <c r="U45" t="str">
        <f>IF('Raw Data'!$K45="Medium",'Raw Data'!$J45,"")</f>
        <v/>
      </c>
      <c r="V45">
        <f>IF('Raw Data'!$K45="High",'Raw Data'!$J45,"")</f>
        <v>71.8</v>
      </c>
    </row>
    <row r="46" spans="1:22" ht="57.6" x14ac:dyDescent="0.3">
      <c r="A46" s="27" t="s">
        <v>297</v>
      </c>
      <c r="B46" s="29" t="str">
        <f>IF(B42&lt;0.05,"Reject H0: study hours are significantly related to final exam score.","Fail to reject H0: the linear relationship is not statistically significant.")</f>
        <v>Reject H0: study hours are significantly related to final exam score.</v>
      </c>
      <c r="M46">
        <f>IF('Raw Data'!$B46="Mentored",'Raw Data'!$J46,"")</f>
        <v>75.7</v>
      </c>
      <c r="N46" t="str">
        <f>IF('Raw Data'!$B46="Control",'Raw Data'!$J46,"")</f>
        <v/>
      </c>
      <c r="P46">
        <f>IF('Raw Data'!$B46="Mentored",'Raw Data'!$H46,"")</f>
        <v>63.4</v>
      </c>
      <c r="Q46">
        <f>IF('Raw Data'!$B46="Mentored",'Raw Data'!$I46,"")</f>
        <v>69.3</v>
      </c>
      <c r="R46">
        <f t="shared" si="1"/>
        <v>5.8999999999999986</v>
      </c>
      <c r="T46" t="str">
        <f>IF('Raw Data'!$K46="Low",'Raw Data'!$J46,"")</f>
        <v/>
      </c>
      <c r="U46">
        <f>IF('Raw Data'!$K46="Medium",'Raw Data'!$J46,"")</f>
        <v>75.7</v>
      </c>
      <c r="V46" t="str">
        <f>IF('Raw Data'!$K46="High",'Raw Data'!$J46,"")</f>
        <v/>
      </c>
    </row>
    <row r="47" spans="1:22" x14ac:dyDescent="0.3">
      <c r="M47" t="str">
        <f>IF('Raw Data'!$B47="Mentored",'Raw Data'!$J47,"")</f>
        <v/>
      </c>
      <c r="N47">
        <f>IF('Raw Data'!$B47="Control",'Raw Data'!$J47,"")</f>
        <v>76.400000000000006</v>
      </c>
      <c r="P47" t="str">
        <f>IF('Raw Data'!$B47="Mentored",'Raw Data'!$H47,"")</f>
        <v/>
      </c>
      <c r="Q47" t="str">
        <f>IF('Raw Data'!$B47="Mentored",'Raw Data'!$I47,"")</f>
        <v/>
      </c>
      <c r="R47" t="str">
        <f t="shared" si="1"/>
        <v/>
      </c>
      <c r="T47" t="str">
        <f>IF('Raw Data'!$K47="Low",'Raw Data'!$J47,"")</f>
        <v/>
      </c>
      <c r="U47">
        <f>IF('Raw Data'!$K47="Medium",'Raw Data'!$J47,"")</f>
        <v>76.400000000000006</v>
      </c>
      <c r="V47" t="str">
        <f>IF('Raw Data'!$K47="High",'Raw Data'!$J47,"")</f>
        <v/>
      </c>
    </row>
    <row r="48" spans="1:22" x14ac:dyDescent="0.3">
      <c r="M48" t="str">
        <f>IF('Raw Data'!$B48="Mentored",'Raw Data'!$J48,"")</f>
        <v/>
      </c>
      <c r="N48">
        <f>IF('Raw Data'!$B48="Control",'Raw Data'!$J48,"")</f>
        <v>77.400000000000006</v>
      </c>
      <c r="P48" t="str">
        <f>IF('Raw Data'!$B48="Mentored",'Raw Data'!$H48,"")</f>
        <v/>
      </c>
      <c r="Q48" t="str">
        <f>IF('Raw Data'!$B48="Mentored",'Raw Data'!$I48,"")</f>
        <v/>
      </c>
      <c r="R48" t="str">
        <f t="shared" si="1"/>
        <v/>
      </c>
      <c r="T48" t="str">
        <f>IF('Raw Data'!$K48="Low",'Raw Data'!$J48,"")</f>
        <v/>
      </c>
      <c r="U48" t="str">
        <f>IF('Raw Data'!$K48="Medium",'Raw Data'!$J48,"")</f>
        <v/>
      </c>
      <c r="V48">
        <f>IF('Raw Data'!$K48="High",'Raw Data'!$J48,"")</f>
        <v>77.400000000000006</v>
      </c>
    </row>
    <row r="49" spans="1:22" x14ac:dyDescent="0.3">
      <c r="M49" t="str">
        <f>IF('Raw Data'!$B49="Mentored",'Raw Data'!$J49,"")</f>
        <v/>
      </c>
      <c r="N49">
        <f>IF('Raw Data'!$B49="Control",'Raw Data'!$J49,"")</f>
        <v>51.8</v>
      </c>
      <c r="P49" t="str">
        <f>IF('Raw Data'!$B49="Mentored",'Raw Data'!$H49,"")</f>
        <v/>
      </c>
      <c r="Q49" t="str">
        <f>IF('Raw Data'!$B49="Mentored",'Raw Data'!$I49,"")</f>
        <v/>
      </c>
      <c r="R49" t="str">
        <f t="shared" si="1"/>
        <v/>
      </c>
      <c r="T49">
        <f>IF('Raw Data'!$K49="Low",'Raw Data'!$J49,"")</f>
        <v>51.8</v>
      </c>
      <c r="U49" t="str">
        <f>IF('Raw Data'!$K49="Medium",'Raw Data'!$J49,"")</f>
        <v/>
      </c>
      <c r="V49" t="str">
        <f>IF('Raw Data'!$K49="High",'Raw Data'!$J49,"")</f>
        <v/>
      </c>
    </row>
    <row r="50" spans="1:22" ht="15.6" x14ac:dyDescent="0.3">
      <c r="A50" s="63" t="s">
        <v>314</v>
      </c>
      <c r="B50" s="34"/>
      <c r="C50" s="34"/>
      <c r="D50" s="34"/>
      <c r="E50" s="34"/>
      <c r="F50" s="34"/>
      <c r="G50" s="34"/>
      <c r="H50" s="34"/>
      <c r="I50" s="34"/>
      <c r="M50">
        <f>IF('Raw Data'!$B50="Mentored",'Raw Data'!$J50,"")</f>
        <v>63.6</v>
      </c>
      <c r="N50" t="str">
        <f>IF('Raw Data'!$B50="Control",'Raw Data'!$J50,"")</f>
        <v/>
      </c>
      <c r="P50">
        <f>IF('Raw Data'!$B50="Mentored",'Raw Data'!$H50,"")</f>
        <v>53.6</v>
      </c>
      <c r="Q50">
        <f>IF('Raw Data'!$B50="Mentored",'Raw Data'!$I50,"")</f>
        <v>62.5</v>
      </c>
      <c r="R50">
        <f t="shared" si="1"/>
        <v>8.8999999999999986</v>
      </c>
      <c r="T50">
        <f>IF('Raw Data'!$K50="Low",'Raw Data'!$J50,"")</f>
        <v>63.6</v>
      </c>
      <c r="U50" t="str">
        <f>IF('Raw Data'!$K50="Medium",'Raw Data'!$J50,"")</f>
        <v/>
      </c>
      <c r="V50" t="str">
        <f>IF('Raw Data'!$K50="High",'Raw Data'!$J50,"")</f>
        <v/>
      </c>
    </row>
    <row r="51" spans="1:22" x14ac:dyDescent="0.3">
      <c r="A51" s="53" t="s">
        <v>315</v>
      </c>
      <c r="B51" s="54"/>
      <c r="C51" s="54"/>
      <c r="D51" s="54"/>
      <c r="E51" s="54"/>
      <c r="F51" s="54"/>
      <c r="G51" s="54"/>
      <c r="H51" s="54"/>
      <c r="I51" s="55"/>
      <c r="M51">
        <f>IF('Raw Data'!$B51="Mentored",'Raw Data'!$J51,"")</f>
        <v>77.7</v>
      </c>
      <c r="N51" t="str">
        <f>IF('Raw Data'!$B51="Control",'Raw Data'!$J51,"")</f>
        <v/>
      </c>
      <c r="P51">
        <f>IF('Raw Data'!$B51="Mentored",'Raw Data'!$H51,"")</f>
        <v>53.5</v>
      </c>
      <c r="Q51">
        <f>IF('Raw Data'!$B51="Mentored",'Raw Data'!$I51,"")</f>
        <v>73.5</v>
      </c>
      <c r="R51">
        <f t="shared" si="1"/>
        <v>20</v>
      </c>
      <c r="T51" t="str">
        <f>IF('Raw Data'!$K51="Low",'Raw Data'!$J51,"")</f>
        <v/>
      </c>
      <c r="U51" t="str">
        <f>IF('Raw Data'!$K51="Medium",'Raw Data'!$J51,"")</f>
        <v/>
      </c>
      <c r="V51">
        <f>IF('Raw Data'!$K51="High",'Raw Data'!$J51,"")</f>
        <v>77.7</v>
      </c>
    </row>
    <row r="52" spans="1:22" x14ac:dyDescent="0.3">
      <c r="A52" s="58"/>
      <c r="B52" s="59"/>
      <c r="C52" s="59"/>
      <c r="D52" s="59"/>
      <c r="E52" s="59"/>
      <c r="F52" s="59"/>
      <c r="G52" s="59"/>
      <c r="H52" s="59"/>
      <c r="I52" s="60"/>
      <c r="M52" t="str">
        <f>IF('Raw Data'!$B52="Mentored",'Raw Data'!$J52,"")</f>
        <v/>
      </c>
      <c r="N52">
        <f>IF('Raw Data'!$B52="Control",'Raw Data'!$J52,"")</f>
        <v>78</v>
      </c>
      <c r="P52" t="str">
        <f>IF('Raw Data'!$B52="Mentored",'Raw Data'!$H52,"")</f>
        <v/>
      </c>
      <c r="Q52" t="str">
        <f>IF('Raw Data'!$B52="Mentored",'Raw Data'!$I52,"")</f>
        <v/>
      </c>
      <c r="R52" t="str">
        <f t="shared" si="1"/>
        <v/>
      </c>
      <c r="T52" t="str">
        <f>IF('Raw Data'!$K52="Low",'Raw Data'!$J52,"")</f>
        <v/>
      </c>
      <c r="U52" t="str">
        <f>IF('Raw Data'!$K52="Medium",'Raw Data'!$J52,"")</f>
        <v/>
      </c>
      <c r="V52">
        <f>IF('Raw Data'!$K52="High",'Raw Data'!$J52,"")</f>
        <v>78</v>
      </c>
    </row>
    <row r="53" spans="1:22" x14ac:dyDescent="0.3">
      <c r="M53" t="str">
        <f>IF('Raw Data'!$B53="Mentored",'Raw Data'!$J53,"")</f>
        <v/>
      </c>
      <c r="N53">
        <f>IF('Raw Data'!$B53="Control",'Raw Data'!$J53,"")</f>
        <v>99</v>
      </c>
      <c r="P53" t="str">
        <f>IF('Raw Data'!$B53="Mentored",'Raw Data'!$H53,"")</f>
        <v/>
      </c>
      <c r="Q53" t="str">
        <f>IF('Raw Data'!$B53="Mentored",'Raw Data'!$I53,"")</f>
        <v/>
      </c>
      <c r="R53" t="str">
        <f t="shared" si="1"/>
        <v/>
      </c>
      <c r="T53" t="str">
        <f>IF('Raw Data'!$K53="Low",'Raw Data'!$J53,"")</f>
        <v/>
      </c>
      <c r="U53" t="str">
        <f>IF('Raw Data'!$K53="Medium",'Raw Data'!$J53,"")</f>
        <v/>
      </c>
      <c r="V53">
        <f>IF('Raw Data'!$K53="High",'Raw Data'!$J53,"")</f>
        <v>99</v>
      </c>
    </row>
    <row r="54" spans="1:22" x14ac:dyDescent="0.3">
      <c r="A54" s="9" t="s">
        <v>269</v>
      </c>
      <c r="B54" s="9" t="s">
        <v>285</v>
      </c>
      <c r="C54" s="9" t="s">
        <v>286</v>
      </c>
      <c r="D54" s="9" t="s">
        <v>287</v>
      </c>
      <c r="E54" s="9" t="s">
        <v>316</v>
      </c>
      <c r="M54" t="str">
        <f>IF('Raw Data'!$B54="Mentored",'Raw Data'!$J54,"")</f>
        <v/>
      </c>
      <c r="N54">
        <f>IF('Raw Data'!$B54="Control",'Raw Data'!$J54,"")</f>
        <v>80.7</v>
      </c>
      <c r="P54" t="str">
        <f>IF('Raw Data'!$B54="Mentored",'Raw Data'!$H54,"")</f>
        <v/>
      </c>
      <c r="Q54" t="str">
        <f>IF('Raw Data'!$B54="Mentored",'Raw Data'!$I54,"")</f>
        <v/>
      </c>
      <c r="R54" t="str">
        <f t="shared" si="1"/>
        <v/>
      </c>
      <c r="T54" t="str">
        <f>IF('Raw Data'!$K54="Low",'Raw Data'!$J54,"")</f>
        <v/>
      </c>
      <c r="U54">
        <f>IF('Raw Data'!$K54="Medium",'Raw Data'!$J54,"")</f>
        <v>80.7</v>
      </c>
      <c r="V54" t="str">
        <f>IF('Raw Data'!$K54="High",'Raw Data'!$J54,"")</f>
        <v/>
      </c>
    </row>
    <row r="55" spans="1:22" x14ac:dyDescent="0.3">
      <c r="A55" s="3" t="s">
        <v>292</v>
      </c>
      <c r="B55" s="26">
        <f>COUNT(T2:T121)</f>
        <v>18</v>
      </c>
      <c r="C55" s="26">
        <f>COUNT(U2:U121)</f>
        <v>64</v>
      </c>
      <c r="D55" s="26">
        <f>COUNT(V2:V121)</f>
        <v>38</v>
      </c>
      <c r="E55" s="3" t="s">
        <v>248</v>
      </c>
      <c r="M55">
        <f>IF('Raw Data'!$B55="Mentored",'Raw Data'!$J55,"")</f>
        <v>81.599999999999994</v>
      </c>
      <c r="N55" t="str">
        <f>IF('Raw Data'!$B55="Control",'Raw Data'!$J55,"")</f>
        <v/>
      </c>
      <c r="P55">
        <f>IF('Raw Data'!$B55="Mentored",'Raw Data'!$H55,"")</f>
        <v>56.3</v>
      </c>
      <c r="Q55">
        <f>IF('Raw Data'!$B55="Mentored",'Raw Data'!$I55,"")</f>
        <v>70.900000000000006</v>
      </c>
      <c r="R55">
        <f t="shared" si="1"/>
        <v>14.600000000000009</v>
      </c>
      <c r="T55" t="str">
        <f>IF('Raw Data'!$K55="Low",'Raw Data'!$J55,"")</f>
        <v/>
      </c>
      <c r="U55" t="str">
        <f>IF('Raw Data'!$K55="Medium",'Raw Data'!$J55,"")</f>
        <v/>
      </c>
      <c r="V55">
        <f>IF('Raw Data'!$K55="High",'Raw Data'!$J55,"")</f>
        <v>81.599999999999994</v>
      </c>
    </row>
    <row r="56" spans="1:22" x14ac:dyDescent="0.3">
      <c r="A56" s="27" t="s">
        <v>273</v>
      </c>
      <c r="B56" s="28">
        <f>AVERAGE(T2:T121)</f>
        <v>69.844444444444449</v>
      </c>
      <c r="C56" s="28">
        <f>AVERAGE(U2:U121)</f>
        <v>76.667187500000026</v>
      </c>
      <c r="D56" s="28">
        <f>AVERAGE(V2:V121)</f>
        <v>82.884210526315783</v>
      </c>
      <c r="E56" s="27" t="s">
        <v>248</v>
      </c>
      <c r="M56">
        <f>IF('Raw Data'!$B56="Mentored",'Raw Data'!$J56,"")</f>
        <v>90.3</v>
      </c>
      <c r="N56" t="str">
        <f>IF('Raw Data'!$B56="Control",'Raw Data'!$J56,"")</f>
        <v/>
      </c>
      <c r="P56">
        <f>IF('Raw Data'!$B56="Mentored",'Raw Data'!$H56,"")</f>
        <v>77.7</v>
      </c>
      <c r="Q56">
        <f>IF('Raw Data'!$B56="Mentored",'Raw Data'!$I56,"")</f>
        <v>98</v>
      </c>
      <c r="R56">
        <f t="shared" si="1"/>
        <v>20.299999999999997</v>
      </c>
      <c r="T56" t="str">
        <f>IF('Raw Data'!$K56="Low",'Raw Data'!$J56,"")</f>
        <v/>
      </c>
      <c r="U56">
        <f>IF('Raw Data'!$K56="Medium",'Raw Data'!$J56,"")</f>
        <v>90.3</v>
      </c>
      <c r="V56" t="str">
        <f>IF('Raw Data'!$K56="High",'Raw Data'!$J56,"")</f>
        <v/>
      </c>
    </row>
    <row r="57" spans="1:22" x14ac:dyDescent="0.3">
      <c r="A57" s="3" t="s">
        <v>317</v>
      </c>
      <c r="B57" s="3" t="e">
        <f ca="1">_xludf.VAR.S(T2:T121)</f>
        <v>#NAME?</v>
      </c>
      <c r="C57" s="3" t="e">
        <f ca="1">_xludf.VAR.S(U2:U121)</f>
        <v>#NAME?</v>
      </c>
      <c r="D57" s="3" t="e">
        <f ca="1">_xludf.VAR.S(V2:V121)</f>
        <v>#NAME?</v>
      </c>
      <c r="E57" s="3" t="s">
        <v>248</v>
      </c>
      <c r="M57" t="str">
        <f>IF('Raw Data'!$B57="Mentored",'Raw Data'!$J57,"")</f>
        <v/>
      </c>
      <c r="N57">
        <f>IF('Raw Data'!$B57="Control",'Raw Data'!$J57,"")</f>
        <v>75.2</v>
      </c>
      <c r="P57" t="str">
        <f>IF('Raw Data'!$B57="Mentored",'Raw Data'!$H57,"")</f>
        <v/>
      </c>
      <c r="Q57" t="str">
        <f>IF('Raw Data'!$B57="Mentored",'Raw Data'!$I57,"")</f>
        <v/>
      </c>
      <c r="R57" t="str">
        <f t="shared" si="1"/>
        <v/>
      </c>
      <c r="T57" t="str">
        <f>IF('Raw Data'!$K57="Low",'Raw Data'!$J57,"")</f>
        <v/>
      </c>
      <c r="U57">
        <f>IF('Raw Data'!$K57="Medium",'Raw Data'!$J57,"")</f>
        <v>75.2</v>
      </c>
      <c r="V57" t="str">
        <f>IF('Raw Data'!$K57="High",'Raw Data'!$J57,"")</f>
        <v/>
      </c>
    </row>
    <row r="58" spans="1:22" x14ac:dyDescent="0.3">
      <c r="A58" s="27" t="s">
        <v>318</v>
      </c>
      <c r="B58" s="27" t="s">
        <v>248</v>
      </c>
      <c r="C58" s="27" t="s">
        <v>248</v>
      </c>
      <c r="D58" s="27" t="s">
        <v>248</v>
      </c>
      <c r="E58" s="28">
        <f>AVERAGE('Raw Data'!J2:J121)</f>
        <v>77.612500000000011</v>
      </c>
      <c r="M58" t="str">
        <f>IF('Raw Data'!$B58="Mentored",'Raw Data'!$J58,"")</f>
        <v/>
      </c>
      <c r="N58">
        <f>IF('Raw Data'!$B58="Control",'Raw Data'!$J58,"")</f>
        <v>86.8</v>
      </c>
      <c r="P58" t="str">
        <f>IF('Raw Data'!$B58="Mentored",'Raw Data'!$H58,"")</f>
        <v/>
      </c>
      <c r="Q58" t="str">
        <f>IF('Raw Data'!$B58="Mentored",'Raw Data'!$I58,"")</f>
        <v/>
      </c>
      <c r="R58" t="str">
        <f t="shared" si="1"/>
        <v/>
      </c>
      <c r="T58" t="str">
        <f>IF('Raw Data'!$K58="Low",'Raw Data'!$J58,"")</f>
        <v/>
      </c>
      <c r="U58">
        <f>IF('Raw Data'!$K58="Medium",'Raw Data'!$J58,"")</f>
        <v>86.8</v>
      </c>
      <c r="V58" t="str">
        <f>IF('Raw Data'!$K58="High",'Raw Data'!$J58,"")</f>
        <v/>
      </c>
    </row>
    <row r="59" spans="1:22" x14ac:dyDescent="0.3">
      <c r="A59" s="3" t="s">
        <v>319</v>
      </c>
      <c r="B59" s="3" t="s">
        <v>248</v>
      </c>
      <c r="C59" s="3" t="s">
        <v>248</v>
      </c>
      <c r="D59" s="3" t="s">
        <v>248</v>
      </c>
      <c r="E59" s="3">
        <f>(B55*(B56-E58)^2)+(C55*(C56-E58)^2)+(D55*(D56-E58)^2)</f>
        <v>2199.4151854897591</v>
      </c>
      <c r="M59" t="str">
        <f>IF('Raw Data'!$B59="Mentored",'Raw Data'!$J59,"")</f>
        <v/>
      </c>
      <c r="N59">
        <f>IF('Raw Data'!$B59="Control",'Raw Data'!$J59,"")</f>
        <v>66.099999999999994</v>
      </c>
      <c r="P59" t="str">
        <f>IF('Raw Data'!$B59="Mentored",'Raw Data'!$H59,"")</f>
        <v/>
      </c>
      <c r="Q59" t="str">
        <f>IF('Raw Data'!$B59="Mentored",'Raw Data'!$I59,"")</f>
        <v/>
      </c>
      <c r="R59" t="str">
        <f t="shared" si="1"/>
        <v/>
      </c>
      <c r="T59">
        <f>IF('Raw Data'!$K59="Low",'Raw Data'!$J59,"")</f>
        <v>66.099999999999994</v>
      </c>
      <c r="U59" t="str">
        <f>IF('Raw Data'!$K59="Medium",'Raw Data'!$J59,"")</f>
        <v/>
      </c>
      <c r="V59" t="str">
        <f>IF('Raw Data'!$K59="High",'Raw Data'!$J59,"")</f>
        <v/>
      </c>
    </row>
    <row r="60" spans="1:22" x14ac:dyDescent="0.3">
      <c r="A60" s="27" t="s">
        <v>320</v>
      </c>
      <c r="B60" s="27" t="s">
        <v>248</v>
      </c>
      <c r="C60" s="27" t="s">
        <v>248</v>
      </c>
      <c r="D60" s="27" t="s">
        <v>248</v>
      </c>
      <c r="E60" s="27" t="e">
        <f ca="1">((B55-1)*B57)+((C55-1)*C57)+((D55-1)*D57)</f>
        <v>#NAME?</v>
      </c>
      <c r="M60" t="str">
        <f>IF('Raw Data'!$B60="Mentored",'Raw Data'!$J60,"")</f>
        <v/>
      </c>
      <c r="N60">
        <f>IF('Raw Data'!$B60="Control",'Raw Data'!$J60,"")</f>
        <v>66.2</v>
      </c>
      <c r="P60" t="str">
        <f>IF('Raw Data'!$B60="Mentored",'Raw Data'!$H60,"")</f>
        <v/>
      </c>
      <c r="Q60" t="str">
        <f>IF('Raw Data'!$B60="Mentored",'Raw Data'!$I60,"")</f>
        <v/>
      </c>
      <c r="R60" t="str">
        <f t="shared" si="1"/>
        <v/>
      </c>
      <c r="T60">
        <f>IF('Raw Data'!$K60="Low",'Raw Data'!$J60,"")</f>
        <v>66.2</v>
      </c>
      <c r="U60" t="str">
        <f>IF('Raw Data'!$K60="Medium",'Raw Data'!$J60,"")</f>
        <v/>
      </c>
      <c r="V60" t="str">
        <f>IF('Raw Data'!$K60="High",'Raw Data'!$J60,"")</f>
        <v/>
      </c>
    </row>
    <row r="61" spans="1:22" x14ac:dyDescent="0.3">
      <c r="A61" s="3" t="s">
        <v>321</v>
      </c>
      <c r="B61" s="3" t="s">
        <v>248</v>
      </c>
      <c r="C61" s="3" t="s">
        <v>248</v>
      </c>
      <c r="D61" s="3" t="s">
        <v>248</v>
      </c>
      <c r="E61" s="26">
        <f>3-1</f>
        <v>2</v>
      </c>
      <c r="M61">
        <f>IF('Raw Data'!$B61="Mentored",'Raw Data'!$J61,"")</f>
        <v>90.2</v>
      </c>
      <c r="N61" t="str">
        <f>IF('Raw Data'!$B61="Control",'Raw Data'!$J61,"")</f>
        <v/>
      </c>
      <c r="P61">
        <f>IF('Raw Data'!$B61="Mentored",'Raw Data'!$H61,"")</f>
        <v>67.7</v>
      </c>
      <c r="Q61">
        <f>IF('Raw Data'!$B61="Mentored",'Raw Data'!$I61,"")</f>
        <v>79</v>
      </c>
      <c r="R61">
        <f t="shared" si="1"/>
        <v>11.299999999999997</v>
      </c>
      <c r="T61" t="str">
        <f>IF('Raw Data'!$K61="Low",'Raw Data'!$J61,"")</f>
        <v/>
      </c>
      <c r="U61" t="str">
        <f>IF('Raw Data'!$K61="Medium",'Raw Data'!$J61,"")</f>
        <v/>
      </c>
      <c r="V61">
        <f>IF('Raw Data'!$K61="High",'Raw Data'!$J61,"")</f>
        <v>90.2</v>
      </c>
    </row>
    <row r="62" spans="1:22" x14ac:dyDescent="0.3">
      <c r="A62" s="27" t="s">
        <v>322</v>
      </c>
      <c r="B62" s="27" t="s">
        <v>248</v>
      </c>
      <c r="C62" s="27" t="s">
        <v>248</v>
      </c>
      <c r="D62" s="27" t="s">
        <v>248</v>
      </c>
      <c r="E62" s="31">
        <f>COUNT('Raw Data'!J2:J121)-3</f>
        <v>117</v>
      </c>
      <c r="M62" t="str">
        <f>IF('Raw Data'!$B62="Mentored",'Raw Data'!$J62,"")</f>
        <v/>
      </c>
      <c r="N62">
        <f>IF('Raw Data'!$B62="Control",'Raw Data'!$J62,"")</f>
        <v>79.8</v>
      </c>
      <c r="P62" t="str">
        <f>IF('Raw Data'!$B62="Mentored",'Raw Data'!$H62,"")</f>
        <v/>
      </c>
      <c r="Q62" t="str">
        <f>IF('Raw Data'!$B62="Mentored",'Raw Data'!$I62,"")</f>
        <v/>
      </c>
      <c r="R62" t="str">
        <f t="shared" si="1"/>
        <v/>
      </c>
      <c r="T62" t="str">
        <f>IF('Raw Data'!$K62="Low",'Raw Data'!$J62,"")</f>
        <v/>
      </c>
      <c r="U62">
        <f>IF('Raw Data'!$K62="Medium",'Raw Data'!$J62,"")</f>
        <v>79.8</v>
      </c>
      <c r="V62" t="str">
        <f>IF('Raw Data'!$K62="High",'Raw Data'!$J62,"")</f>
        <v/>
      </c>
    </row>
    <row r="63" spans="1:22" x14ac:dyDescent="0.3">
      <c r="A63" s="3" t="s">
        <v>323</v>
      </c>
      <c r="B63" s="3" t="s">
        <v>248</v>
      </c>
      <c r="C63" s="3" t="s">
        <v>248</v>
      </c>
      <c r="D63" s="3" t="s">
        <v>248</v>
      </c>
      <c r="E63" s="3">
        <f>E59/E61</f>
        <v>1099.7075927448795</v>
      </c>
      <c r="M63">
        <f>IF('Raw Data'!$B63="Mentored",'Raw Data'!$J63,"")</f>
        <v>82.1</v>
      </c>
      <c r="N63" t="str">
        <f>IF('Raw Data'!$B63="Control",'Raw Data'!$J63,"")</f>
        <v/>
      </c>
      <c r="P63">
        <f>IF('Raw Data'!$B63="Mentored",'Raw Data'!$H63,"")</f>
        <v>70.5</v>
      </c>
      <c r="Q63">
        <f>IF('Raw Data'!$B63="Mentored",'Raw Data'!$I63,"")</f>
        <v>83.2</v>
      </c>
      <c r="R63">
        <f t="shared" si="1"/>
        <v>12.700000000000003</v>
      </c>
      <c r="T63" t="str">
        <f>IF('Raw Data'!$K63="Low",'Raw Data'!$J63,"")</f>
        <v/>
      </c>
      <c r="U63" t="str">
        <f>IF('Raw Data'!$K63="Medium",'Raw Data'!$J63,"")</f>
        <v/>
      </c>
      <c r="V63">
        <f>IF('Raw Data'!$K63="High",'Raw Data'!$J63,"")</f>
        <v>82.1</v>
      </c>
    </row>
    <row r="64" spans="1:22" x14ac:dyDescent="0.3">
      <c r="A64" s="27" t="s">
        <v>324</v>
      </c>
      <c r="B64" s="27" t="s">
        <v>248</v>
      </c>
      <c r="C64" s="27" t="s">
        <v>248</v>
      </c>
      <c r="D64" s="27" t="s">
        <v>248</v>
      </c>
      <c r="E64" s="27" t="e">
        <f ca="1">E60/E62</f>
        <v>#NAME?</v>
      </c>
      <c r="M64" t="str">
        <f>IF('Raw Data'!$B64="Mentored",'Raw Data'!$J64,"")</f>
        <v/>
      </c>
      <c r="N64">
        <f>IF('Raw Data'!$B64="Control",'Raw Data'!$J64,"")</f>
        <v>71.7</v>
      </c>
      <c r="P64" t="str">
        <f>IF('Raw Data'!$B64="Mentored",'Raw Data'!$H64,"")</f>
        <v/>
      </c>
      <c r="Q64" t="str">
        <f>IF('Raw Data'!$B64="Mentored",'Raw Data'!$I64,"")</f>
        <v/>
      </c>
      <c r="R64" t="str">
        <f t="shared" si="1"/>
        <v/>
      </c>
      <c r="T64" t="str">
        <f>IF('Raw Data'!$K64="Low",'Raw Data'!$J64,"")</f>
        <v/>
      </c>
      <c r="U64" t="str">
        <f>IF('Raw Data'!$K64="Medium",'Raw Data'!$J64,"")</f>
        <v/>
      </c>
      <c r="V64">
        <f>IF('Raw Data'!$K64="High",'Raw Data'!$J64,"")</f>
        <v>71.7</v>
      </c>
    </row>
    <row r="65" spans="1:22" x14ac:dyDescent="0.3">
      <c r="A65" s="3" t="s">
        <v>325</v>
      </c>
      <c r="B65" s="3" t="s">
        <v>248</v>
      </c>
      <c r="C65" s="3" t="s">
        <v>248</v>
      </c>
      <c r="D65" s="3" t="s">
        <v>248</v>
      </c>
      <c r="E65" s="3" t="e">
        <f ca="1">E63/E64</f>
        <v>#NAME?</v>
      </c>
      <c r="M65">
        <f>IF('Raw Data'!$B65="Mentored",'Raw Data'!$J65,"")</f>
        <v>81.8</v>
      </c>
      <c r="N65" t="str">
        <f>IF('Raw Data'!$B65="Control",'Raw Data'!$J65,"")</f>
        <v/>
      </c>
      <c r="P65">
        <f>IF('Raw Data'!$B65="Mentored",'Raw Data'!$H65,"")</f>
        <v>69.3</v>
      </c>
      <c r="Q65">
        <f>IF('Raw Data'!$B65="Mentored",'Raw Data'!$I65,"")</f>
        <v>83.7</v>
      </c>
      <c r="R65">
        <f t="shared" si="1"/>
        <v>14.400000000000006</v>
      </c>
      <c r="T65" t="str">
        <f>IF('Raw Data'!$K65="Low",'Raw Data'!$J65,"")</f>
        <v/>
      </c>
      <c r="U65">
        <f>IF('Raw Data'!$K65="Medium",'Raw Data'!$J65,"")</f>
        <v>81.8</v>
      </c>
      <c r="V65" t="str">
        <f>IF('Raw Data'!$K65="High",'Raw Data'!$J65,"")</f>
        <v/>
      </c>
    </row>
    <row r="66" spans="1:22" x14ac:dyDescent="0.3">
      <c r="A66" s="27" t="s">
        <v>326</v>
      </c>
      <c r="B66" s="27" t="s">
        <v>248</v>
      </c>
      <c r="C66" s="27" t="s">
        <v>248</v>
      </c>
      <c r="D66" s="27" t="s">
        <v>248</v>
      </c>
      <c r="E66" s="29" t="e">
        <f ca="1">_xludf.F.DIST.RT(E65,E61,E62)</f>
        <v>#NAME?</v>
      </c>
      <c r="M66" t="str">
        <f>IF('Raw Data'!$B66="Mentored",'Raw Data'!$J66,"")</f>
        <v/>
      </c>
      <c r="N66">
        <f>IF('Raw Data'!$B66="Control",'Raw Data'!$J66,"")</f>
        <v>64.599999999999994</v>
      </c>
      <c r="P66" t="str">
        <f>IF('Raw Data'!$B66="Mentored",'Raw Data'!$H66,"")</f>
        <v/>
      </c>
      <c r="Q66" t="str">
        <f>IF('Raw Data'!$B66="Mentored",'Raw Data'!$I66,"")</f>
        <v/>
      </c>
      <c r="R66" t="str">
        <f t="shared" ref="R66:R97" si="2">IF(AND(P66&lt;&gt;"",Q66&lt;&gt;""),Q66-P66,"")</f>
        <v/>
      </c>
      <c r="T66">
        <f>IF('Raw Data'!$K66="Low",'Raw Data'!$J66,"")</f>
        <v>64.599999999999994</v>
      </c>
      <c r="U66" t="str">
        <f>IF('Raw Data'!$K66="Medium",'Raw Data'!$J66,"")</f>
        <v/>
      </c>
      <c r="V66" t="str">
        <f>IF('Raw Data'!$K66="High",'Raw Data'!$J66,"")</f>
        <v/>
      </c>
    </row>
    <row r="67" spans="1:22" x14ac:dyDescent="0.3">
      <c r="A67" s="3" t="s">
        <v>327</v>
      </c>
      <c r="B67" s="3" t="s">
        <v>248</v>
      </c>
      <c r="C67" s="3" t="s">
        <v>248</v>
      </c>
      <c r="D67" s="3" t="s">
        <v>248</v>
      </c>
      <c r="E67" s="30" t="e">
        <f ca="1">E59/(E59+E60)</f>
        <v>#NAME?</v>
      </c>
      <c r="M67">
        <f>IF('Raw Data'!$B67="Mentored",'Raw Data'!$J67,"")</f>
        <v>81</v>
      </c>
      <c r="N67" t="str">
        <f>IF('Raw Data'!$B67="Control",'Raw Data'!$J67,"")</f>
        <v/>
      </c>
      <c r="P67">
        <f>IF('Raw Data'!$B67="Mentored",'Raw Data'!$H67,"")</f>
        <v>58.6</v>
      </c>
      <c r="Q67">
        <f>IF('Raw Data'!$B67="Mentored",'Raw Data'!$I67,"")</f>
        <v>73.099999999999994</v>
      </c>
      <c r="R67">
        <f t="shared" si="2"/>
        <v>14.499999999999993</v>
      </c>
      <c r="T67" t="str">
        <f>IF('Raw Data'!$K67="Low",'Raw Data'!$J67,"")</f>
        <v/>
      </c>
      <c r="U67">
        <f>IF('Raw Data'!$K67="Medium",'Raw Data'!$J67,"")</f>
        <v>81</v>
      </c>
      <c r="V67" t="str">
        <f>IF('Raw Data'!$K67="High",'Raw Data'!$J67,"")</f>
        <v/>
      </c>
    </row>
    <row r="68" spans="1:22" x14ac:dyDescent="0.3">
      <c r="A68" s="27" t="s">
        <v>297</v>
      </c>
      <c r="B68" s="27" t="s">
        <v>248</v>
      </c>
      <c r="C68" s="27" t="s">
        <v>248</v>
      </c>
      <c r="D68" s="27" t="s">
        <v>248</v>
      </c>
      <c r="E68" s="27" t="e">
        <f ca="1">IF(E66&lt;0.05,"Reject H0: at least one attendance-category mean differs.","Fail to reject H0: no statistically significant difference among attendance groups.")</f>
        <v>#NAME?</v>
      </c>
      <c r="M68" t="str">
        <f>IF('Raw Data'!$B68="Mentored",'Raw Data'!$J68,"")</f>
        <v/>
      </c>
      <c r="N68">
        <f>IF('Raw Data'!$B68="Control",'Raw Data'!$J68,"")</f>
        <v>79</v>
      </c>
      <c r="P68" t="str">
        <f>IF('Raw Data'!$B68="Mentored",'Raw Data'!$H68,"")</f>
        <v/>
      </c>
      <c r="Q68" t="str">
        <f>IF('Raw Data'!$B68="Mentored",'Raw Data'!$I68,"")</f>
        <v/>
      </c>
      <c r="R68" t="str">
        <f t="shared" si="2"/>
        <v/>
      </c>
      <c r="T68" t="str">
        <f>IF('Raw Data'!$K68="Low",'Raw Data'!$J68,"")</f>
        <v/>
      </c>
      <c r="U68">
        <f>IF('Raw Data'!$K68="Medium",'Raw Data'!$J68,"")</f>
        <v>79</v>
      </c>
      <c r="V68" t="str">
        <f>IF('Raw Data'!$K68="High",'Raw Data'!$J68,"")</f>
        <v/>
      </c>
    </row>
    <row r="69" spans="1:22" x14ac:dyDescent="0.3">
      <c r="M69" t="str">
        <f>IF('Raw Data'!$B69="Mentored",'Raw Data'!$J69,"")</f>
        <v/>
      </c>
      <c r="N69">
        <f>IF('Raw Data'!$B69="Control",'Raw Data'!$J69,"")</f>
        <v>74</v>
      </c>
      <c r="P69" t="str">
        <f>IF('Raw Data'!$B69="Mentored",'Raw Data'!$H69,"")</f>
        <v/>
      </c>
      <c r="Q69" t="str">
        <f>IF('Raw Data'!$B69="Mentored",'Raw Data'!$I69,"")</f>
        <v/>
      </c>
      <c r="R69" t="str">
        <f t="shared" si="2"/>
        <v/>
      </c>
      <c r="T69">
        <f>IF('Raw Data'!$K69="Low",'Raw Data'!$J69,"")</f>
        <v>74</v>
      </c>
      <c r="U69" t="str">
        <f>IF('Raw Data'!$K69="Medium",'Raw Data'!$J69,"")</f>
        <v/>
      </c>
      <c r="V69" t="str">
        <f>IF('Raw Data'!$K69="High",'Raw Data'!$J69,"")</f>
        <v/>
      </c>
    </row>
    <row r="70" spans="1:22" x14ac:dyDescent="0.3">
      <c r="M70" t="str">
        <f>IF('Raw Data'!$B70="Mentored",'Raw Data'!$J70,"")</f>
        <v/>
      </c>
      <c r="N70">
        <f>IF('Raw Data'!$B70="Control",'Raw Data'!$J70,"")</f>
        <v>70.5</v>
      </c>
      <c r="P70" t="str">
        <f>IF('Raw Data'!$B70="Mentored",'Raw Data'!$H70,"")</f>
        <v/>
      </c>
      <c r="Q70" t="str">
        <f>IF('Raw Data'!$B70="Mentored",'Raw Data'!$I70,"")</f>
        <v/>
      </c>
      <c r="R70" t="str">
        <f t="shared" si="2"/>
        <v/>
      </c>
      <c r="T70" t="str">
        <f>IF('Raw Data'!$K70="Low",'Raw Data'!$J70,"")</f>
        <v/>
      </c>
      <c r="U70">
        <f>IF('Raw Data'!$K70="Medium",'Raw Data'!$J70,"")</f>
        <v>70.5</v>
      </c>
      <c r="V70" t="str">
        <f>IF('Raw Data'!$K70="High",'Raw Data'!$J70,"")</f>
        <v/>
      </c>
    </row>
    <row r="71" spans="1:22" x14ac:dyDescent="0.3">
      <c r="M71" t="str">
        <f>IF('Raw Data'!$B71="Mentored",'Raw Data'!$J71,"")</f>
        <v/>
      </c>
      <c r="N71">
        <f>IF('Raw Data'!$B71="Control",'Raw Data'!$J71,"")</f>
        <v>77.5</v>
      </c>
      <c r="P71" t="str">
        <f>IF('Raw Data'!$B71="Mentored",'Raw Data'!$H71,"")</f>
        <v/>
      </c>
      <c r="Q71" t="str">
        <f>IF('Raw Data'!$B71="Mentored",'Raw Data'!$I71,"")</f>
        <v/>
      </c>
      <c r="R71" t="str">
        <f t="shared" si="2"/>
        <v/>
      </c>
      <c r="T71" t="str">
        <f>IF('Raw Data'!$K71="Low",'Raw Data'!$J71,"")</f>
        <v/>
      </c>
      <c r="U71">
        <f>IF('Raw Data'!$K71="Medium",'Raw Data'!$J71,"")</f>
        <v>77.5</v>
      </c>
      <c r="V71" t="str">
        <f>IF('Raw Data'!$K71="High",'Raw Data'!$J71,"")</f>
        <v/>
      </c>
    </row>
    <row r="72" spans="1:22" x14ac:dyDescent="0.3">
      <c r="M72" t="str">
        <f>IF('Raw Data'!$B72="Mentored",'Raw Data'!$J72,"")</f>
        <v/>
      </c>
      <c r="N72">
        <f>IF('Raw Data'!$B72="Control",'Raw Data'!$J72,"")</f>
        <v>91.1</v>
      </c>
      <c r="P72" t="str">
        <f>IF('Raw Data'!$B72="Mentored",'Raw Data'!$H72,"")</f>
        <v/>
      </c>
      <c r="Q72" t="str">
        <f>IF('Raw Data'!$B72="Mentored",'Raw Data'!$I72,"")</f>
        <v/>
      </c>
      <c r="R72" t="str">
        <f t="shared" si="2"/>
        <v/>
      </c>
      <c r="T72" t="str">
        <f>IF('Raw Data'!$K72="Low",'Raw Data'!$J72,"")</f>
        <v/>
      </c>
      <c r="U72" t="str">
        <f>IF('Raw Data'!$K72="Medium",'Raw Data'!$J72,"")</f>
        <v/>
      </c>
      <c r="V72">
        <f>IF('Raw Data'!$K72="High",'Raw Data'!$J72,"")</f>
        <v>91.1</v>
      </c>
    </row>
    <row r="73" spans="1:22" x14ac:dyDescent="0.3">
      <c r="M73">
        <f>IF('Raw Data'!$B73="Mentored",'Raw Data'!$J73,"")</f>
        <v>86.9</v>
      </c>
      <c r="N73" t="str">
        <f>IF('Raw Data'!$B73="Control",'Raw Data'!$J73,"")</f>
        <v/>
      </c>
      <c r="P73">
        <f>IF('Raw Data'!$B73="Mentored",'Raw Data'!$H73,"")</f>
        <v>66.400000000000006</v>
      </c>
      <c r="Q73">
        <f>IF('Raw Data'!$B73="Mentored",'Raw Data'!$I73,"")</f>
        <v>79.2</v>
      </c>
      <c r="R73">
        <f t="shared" si="2"/>
        <v>12.799999999999997</v>
      </c>
      <c r="T73" t="str">
        <f>IF('Raw Data'!$K73="Low",'Raw Data'!$J73,"")</f>
        <v/>
      </c>
      <c r="U73">
        <f>IF('Raw Data'!$K73="Medium",'Raw Data'!$J73,"")</f>
        <v>86.9</v>
      </c>
      <c r="V73" t="str">
        <f>IF('Raw Data'!$K73="High",'Raw Data'!$J73,"")</f>
        <v/>
      </c>
    </row>
    <row r="74" spans="1:22" x14ac:dyDescent="0.3">
      <c r="M74" t="str">
        <f>IF('Raw Data'!$B74="Mentored",'Raw Data'!$J74,"")</f>
        <v/>
      </c>
      <c r="N74">
        <f>IF('Raw Data'!$B74="Control",'Raw Data'!$J74,"")</f>
        <v>64.400000000000006</v>
      </c>
      <c r="P74" t="str">
        <f>IF('Raw Data'!$B74="Mentored",'Raw Data'!$H74,"")</f>
        <v/>
      </c>
      <c r="Q74" t="str">
        <f>IF('Raw Data'!$B74="Mentored",'Raw Data'!$I74,"")</f>
        <v/>
      </c>
      <c r="R74" t="str">
        <f t="shared" si="2"/>
        <v/>
      </c>
      <c r="T74" t="str">
        <f>IF('Raw Data'!$K74="Low",'Raw Data'!$J74,"")</f>
        <v/>
      </c>
      <c r="U74">
        <f>IF('Raw Data'!$K74="Medium",'Raw Data'!$J74,"")</f>
        <v>64.400000000000006</v>
      </c>
      <c r="V74" t="str">
        <f>IF('Raw Data'!$K74="High",'Raw Data'!$J74,"")</f>
        <v/>
      </c>
    </row>
    <row r="75" spans="1:22" x14ac:dyDescent="0.3">
      <c r="M75">
        <f>IF('Raw Data'!$B75="Mentored",'Raw Data'!$J75,"")</f>
        <v>90.3</v>
      </c>
      <c r="N75" t="str">
        <f>IF('Raw Data'!$B75="Control",'Raw Data'!$J75,"")</f>
        <v/>
      </c>
      <c r="P75">
        <f>IF('Raw Data'!$B75="Mentored",'Raw Data'!$H75,"")</f>
        <v>67.099999999999994</v>
      </c>
      <c r="Q75">
        <f>IF('Raw Data'!$B75="Mentored",'Raw Data'!$I75,"")</f>
        <v>84.3</v>
      </c>
      <c r="R75">
        <f t="shared" si="2"/>
        <v>17.200000000000003</v>
      </c>
      <c r="T75" t="str">
        <f>IF('Raw Data'!$K75="Low",'Raw Data'!$J75,"")</f>
        <v/>
      </c>
      <c r="U75">
        <f>IF('Raw Data'!$K75="Medium",'Raw Data'!$J75,"")</f>
        <v>90.3</v>
      </c>
      <c r="V75" t="str">
        <f>IF('Raw Data'!$K75="High",'Raw Data'!$J75,"")</f>
        <v/>
      </c>
    </row>
    <row r="76" spans="1:22" x14ac:dyDescent="0.3">
      <c r="M76" t="str">
        <f>IF('Raw Data'!$B76="Mentored",'Raw Data'!$J76,"")</f>
        <v/>
      </c>
      <c r="N76">
        <f>IF('Raw Data'!$B76="Control",'Raw Data'!$J76,"")</f>
        <v>76</v>
      </c>
      <c r="P76" t="str">
        <f>IF('Raw Data'!$B76="Mentored",'Raw Data'!$H76,"")</f>
        <v/>
      </c>
      <c r="Q76" t="str">
        <f>IF('Raw Data'!$B76="Mentored",'Raw Data'!$I76,"")</f>
        <v/>
      </c>
      <c r="R76" t="str">
        <f t="shared" si="2"/>
        <v/>
      </c>
      <c r="T76" t="str">
        <f>IF('Raw Data'!$K76="Low",'Raw Data'!$J76,"")</f>
        <v/>
      </c>
      <c r="U76">
        <f>IF('Raw Data'!$K76="Medium",'Raw Data'!$J76,"")</f>
        <v>76</v>
      </c>
      <c r="V76" t="str">
        <f>IF('Raw Data'!$K76="High",'Raw Data'!$J76,"")</f>
        <v/>
      </c>
    </row>
    <row r="77" spans="1:22" x14ac:dyDescent="0.3">
      <c r="M77">
        <f>IF('Raw Data'!$B77="Mentored",'Raw Data'!$J77,"")</f>
        <v>84.4</v>
      </c>
      <c r="N77" t="str">
        <f>IF('Raw Data'!$B77="Control",'Raw Data'!$J77,"")</f>
        <v/>
      </c>
      <c r="P77">
        <f>IF('Raw Data'!$B77="Mentored",'Raw Data'!$H77,"")</f>
        <v>52.2</v>
      </c>
      <c r="Q77">
        <f>IF('Raw Data'!$B77="Mentored",'Raw Data'!$I77,"")</f>
        <v>62</v>
      </c>
      <c r="R77">
        <f t="shared" si="2"/>
        <v>9.7999999999999972</v>
      </c>
      <c r="T77" t="str">
        <f>IF('Raw Data'!$K77="Low",'Raw Data'!$J77,"")</f>
        <v/>
      </c>
      <c r="U77" t="str">
        <f>IF('Raw Data'!$K77="Medium",'Raw Data'!$J77,"")</f>
        <v/>
      </c>
      <c r="V77">
        <f>IF('Raw Data'!$K77="High",'Raw Data'!$J77,"")</f>
        <v>84.4</v>
      </c>
    </row>
    <row r="78" spans="1:22" x14ac:dyDescent="0.3">
      <c r="M78" t="str">
        <f>IF('Raw Data'!$B78="Mentored",'Raw Data'!$J78,"")</f>
        <v/>
      </c>
      <c r="N78">
        <f>IF('Raw Data'!$B78="Control",'Raw Data'!$J78,"")</f>
        <v>76.3</v>
      </c>
      <c r="P78" t="str">
        <f>IF('Raw Data'!$B78="Mentored",'Raw Data'!$H78,"")</f>
        <v/>
      </c>
      <c r="Q78" t="str">
        <f>IF('Raw Data'!$B78="Mentored",'Raw Data'!$I78,"")</f>
        <v/>
      </c>
      <c r="R78" t="str">
        <f t="shared" si="2"/>
        <v/>
      </c>
      <c r="T78" t="str">
        <f>IF('Raw Data'!$K78="Low",'Raw Data'!$J78,"")</f>
        <v/>
      </c>
      <c r="U78">
        <f>IF('Raw Data'!$K78="Medium",'Raw Data'!$J78,"")</f>
        <v>76.3</v>
      </c>
      <c r="V78" t="str">
        <f>IF('Raw Data'!$K78="High",'Raw Data'!$J78,"")</f>
        <v/>
      </c>
    </row>
    <row r="79" spans="1:22" x14ac:dyDescent="0.3">
      <c r="M79">
        <f>IF('Raw Data'!$B79="Mentored",'Raw Data'!$J79,"")</f>
        <v>79</v>
      </c>
      <c r="N79" t="str">
        <f>IF('Raw Data'!$B79="Control",'Raw Data'!$J79,"")</f>
        <v/>
      </c>
      <c r="P79">
        <f>IF('Raw Data'!$B79="Mentored",'Raw Data'!$H79,"")</f>
        <v>60.1</v>
      </c>
      <c r="Q79">
        <f>IF('Raw Data'!$B79="Mentored",'Raw Data'!$I79,"")</f>
        <v>76.599999999999994</v>
      </c>
      <c r="R79">
        <f t="shared" si="2"/>
        <v>16.499999999999993</v>
      </c>
      <c r="T79" t="str">
        <f>IF('Raw Data'!$K79="Low",'Raw Data'!$J79,"")</f>
        <v/>
      </c>
      <c r="U79">
        <f>IF('Raw Data'!$K79="Medium",'Raw Data'!$J79,"")</f>
        <v>79</v>
      </c>
      <c r="V79" t="str">
        <f>IF('Raw Data'!$K79="High",'Raw Data'!$J79,"")</f>
        <v/>
      </c>
    </row>
    <row r="80" spans="1:22" x14ac:dyDescent="0.3">
      <c r="M80" t="str">
        <f>IF('Raw Data'!$B80="Mentored",'Raw Data'!$J80,"")</f>
        <v/>
      </c>
      <c r="N80">
        <f>IF('Raw Data'!$B80="Control",'Raw Data'!$J80,"")</f>
        <v>65.5</v>
      </c>
      <c r="P80" t="str">
        <f>IF('Raw Data'!$B80="Mentored",'Raw Data'!$H80,"")</f>
        <v/>
      </c>
      <c r="Q80" t="str">
        <f>IF('Raw Data'!$B80="Mentored",'Raw Data'!$I80,"")</f>
        <v/>
      </c>
      <c r="R80" t="str">
        <f t="shared" si="2"/>
        <v/>
      </c>
      <c r="T80" t="str">
        <f>IF('Raw Data'!$K80="Low",'Raw Data'!$J80,"")</f>
        <v/>
      </c>
      <c r="U80">
        <f>IF('Raw Data'!$K80="Medium",'Raw Data'!$J80,"")</f>
        <v>65.5</v>
      </c>
      <c r="V80" t="str">
        <f>IF('Raw Data'!$K80="High",'Raw Data'!$J80,"")</f>
        <v/>
      </c>
    </row>
    <row r="81" spans="13:22" x14ac:dyDescent="0.3">
      <c r="M81" t="str">
        <f>IF('Raw Data'!$B81="Mentored",'Raw Data'!$J81,"")</f>
        <v/>
      </c>
      <c r="N81">
        <f>IF('Raw Data'!$B81="Control",'Raw Data'!$J81,"")</f>
        <v>81.5</v>
      </c>
      <c r="P81" t="str">
        <f>IF('Raw Data'!$B81="Mentored",'Raw Data'!$H81,"")</f>
        <v/>
      </c>
      <c r="Q81" t="str">
        <f>IF('Raw Data'!$B81="Mentored",'Raw Data'!$I81,"")</f>
        <v/>
      </c>
      <c r="R81" t="str">
        <f t="shared" si="2"/>
        <v/>
      </c>
      <c r="T81" t="str">
        <f>IF('Raw Data'!$K81="Low",'Raw Data'!$J81,"")</f>
        <v/>
      </c>
      <c r="U81">
        <f>IF('Raw Data'!$K81="Medium",'Raw Data'!$J81,"")</f>
        <v>81.5</v>
      </c>
      <c r="V81" t="str">
        <f>IF('Raw Data'!$K81="High",'Raw Data'!$J81,"")</f>
        <v/>
      </c>
    </row>
    <row r="82" spans="13:22" x14ac:dyDescent="0.3">
      <c r="M82">
        <f>IF('Raw Data'!$B82="Mentored",'Raw Data'!$J82,"")</f>
        <v>69.8</v>
      </c>
      <c r="N82" t="str">
        <f>IF('Raw Data'!$B82="Control",'Raw Data'!$J82,"")</f>
        <v/>
      </c>
      <c r="P82">
        <f>IF('Raw Data'!$B82="Mentored",'Raw Data'!$H82,"")</f>
        <v>52.4</v>
      </c>
      <c r="Q82">
        <f>IF('Raw Data'!$B82="Mentored",'Raw Data'!$I82,"")</f>
        <v>60.9</v>
      </c>
      <c r="R82">
        <f t="shared" si="2"/>
        <v>8.5</v>
      </c>
      <c r="T82" t="str">
        <f>IF('Raw Data'!$K82="Low",'Raw Data'!$J82,"")</f>
        <v/>
      </c>
      <c r="U82">
        <f>IF('Raw Data'!$K82="Medium",'Raw Data'!$J82,"")</f>
        <v>69.8</v>
      </c>
      <c r="V82" t="str">
        <f>IF('Raw Data'!$K82="High",'Raw Data'!$J82,"")</f>
        <v/>
      </c>
    </row>
    <row r="83" spans="13:22" x14ac:dyDescent="0.3">
      <c r="M83">
        <f>IF('Raw Data'!$B83="Mentored",'Raw Data'!$J83,"")</f>
        <v>81.400000000000006</v>
      </c>
      <c r="N83" t="str">
        <f>IF('Raw Data'!$B83="Control",'Raw Data'!$J83,"")</f>
        <v/>
      </c>
      <c r="P83">
        <f>IF('Raw Data'!$B83="Mentored",'Raw Data'!$H83,"")</f>
        <v>61.2</v>
      </c>
      <c r="Q83">
        <f>IF('Raw Data'!$B83="Mentored",'Raw Data'!$I83,"")</f>
        <v>78.5</v>
      </c>
      <c r="R83">
        <f t="shared" si="2"/>
        <v>17.299999999999997</v>
      </c>
      <c r="T83" t="str">
        <f>IF('Raw Data'!$K83="Low",'Raw Data'!$J83,"")</f>
        <v/>
      </c>
      <c r="U83">
        <f>IF('Raw Data'!$K83="Medium",'Raw Data'!$J83,"")</f>
        <v>81.400000000000006</v>
      </c>
      <c r="V83" t="str">
        <f>IF('Raw Data'!$K83="High",'Raw Data'!$J83,"")</f>
        <v/>
      </c>
    </row>
    <row r="84" spans="13:22" x14ac:dyDescent="0.3">
      <c r="M84" t="str">
        <f>IF('Raw Data'!$B84="Mentored",'Raw Data'!$J84,"")</f>
        <v/>
      </c>
      <c r="N84">
        <f>IF('Raw Data'!$B84="Control",'Raw Data'!$J84,"")</f>
        <v>75.3</v>
      </c>
      <c r="P84" t="str">
        <f>IF('Raw Data'!$B84="Mentored",'Raw Data'!$H84,"")</f>
        <v/>
      </c>
      <c r="Q84" t="str">
        <f>IF('Raw Data'!$B84="Mentored",'Raw Data'!$I84,"")</f>
        <v/>
      </c>
      <c r="R84" t="str">
        <f t="shared" si="2"/>
        <v/>
      </c>
      <c r="T84" t="str">
        <f>IF('Raw Data'!$K84="Low",'Raw Data'!$J84,"")</f>
        <v/>
      </c>
      <c r="U84">
        <f>IF('Raw Data'!$K84="Medium",'Raw Data'!$J84,"")</f>
        <v>75.3</v>
      </c>
      <c r="V84" t="str">
        <f>IF('Raw Data'!$K84="High",'Raw Data'!$J84,"")</f>
        <v/>
      </c>
    </row>
    <row r="85" spans="13:22" x14ac:dyDescent="0.3">
      <c r="M85">
        <f>IF('Raw Data'!$B85="Mentored",'Raw Data'!$J85,"")</f>
        <v>76.599999999999994</v>
      </c>
      <c r="N85" t="str">
        <f>IF('Raw Data'!$B85="Control",'Raw Data'!$J85,"")</f>
        <v/>
      </c>
      <c r="P85">
        <f>IF('Raw Data'!$B85="Mentored",'Raw Data'!$H85,"")</f>
        <v>57.7</v>
      </c>
      <c r="Q85">
        <f>IF('Raw Data'!$B85="Mentored",'Raw Data'!$I85,"")</f>
        <v>67.900000000000006</v>
      </c>
      <c r="R85">
        <f t="shared" si="2"/>
        <v>10.200000000000003</v>
      </c>
      <c r="T85" t="str">
        <f>IF('Raw Data'!$K85="Low",'Raw Data'!$J85,"")</f>
        <v/>
      </c>
      <c r="U85">
        <f>IF('Raw Data'!$K85="Medium",'Raw Data'!$J85,"")</f>
        <v>76.599999999999994</v>
      </c>
      <c r="V85" t="str">
        <f>IF('Raw Data'!$K85="High",'Raw Data'!$J85,"")</f>
        <v/>
      </c>
    </row>
    <row r="86" spans="13:22" x14ac:dyDescent="0.3">
      <c r="M86" t="str">
        <f>IF('Raw Data'!$B86="Mentored",'Raw Data'!$J86,"")</f>
        <v/>
      </c>
      <c r="N86">
        <f>IF('Raw Data'!$B86="Control",'Raw Data'!$J86,"")</f>
        <v>88.9</v>
      </c>
      <c r="P86" t="str">
        <f>IF('Raw Data'!$B86="Mentored",'Raw Data'!$H86,"")</f>
        <v/>
      </c>
      <c r="Q86" t="str">
        <f>IF('Raw Data'!$B86="Mentored",'Raw Data'!$I86,"")</f>
        <v/>
      </c>
      <c r="R86" t="str">
        <f t="shared" si="2"/>
        <v/>
      </c>
      <c r="T86" t="str">
        <f>IF('Raw Data'!$K86="Low",'Raw Data'!$J86,"")</f>
        <v/>
      </c>
      <c r="U86">
        <f>IF('Raw Data'!$K86="Medium",'Raw Data'!$J86,"")</f>
        <v>88.9</v>
      </c>
      <c r="V86" t="str">
        <f>IF('Raw Data'!$K86="High",'Raw Data'!$J86,"")</f>
        <v/>
      </c>
    </row>
    <row r="87" spans="13:22" x14ac:dyDescent="0.3">
      <c r="M87">
        <f>IF('Raw Data'!$B87="Mentored",'Raw Data'!$J87,"")</f>
        <v>87</v>
      </c>
      <c r="N87" t="str">
        <f>IF('Raw Data'!$B87="Control",'Raw Data'!$J87,"")</f>
        <v/>
      </c>
      <c r="P87">
        <f>IF('Raw Data'!$B87="Mentored",'Raw Data'!$H87,"")</f>
        <v>57.6</v>
      </c>
      <c r="Q87">
        <f>IF('Raw Data'!$B87="Mentored",'Raw Data'!$I87,"")</f>
        <v>81.400000000000006</v>
      </c>
      <c r="R87">
        <f t="shared" si="2"/>
        <v>23.800000000000004</v>
      </c>
      <c r="T87" t="str">
        <f>IF('Raw Data'!$K87="Low",'Raw Data'!$J87,"")</f>
        <v/>
      </c>
      <c r="U87" t="str">
        <f>IF('Raw Data'!$K87="Medium",'Raw Data'!$J87,"")</f>
        <v/>
      </c>
      <c r="V87">
        <f>IF('Raw Data'!$K87="High",'Raw Data'!$J87,"")</f>
        <v>87</v>
      </c>
    </row>
    <row r="88" spans="13:22" x14ac:dyDescent="0.3">
      <c r="M88" t="str">
        <f>IF('Raw Data'!$B88="Mentored",'Raw Data'!$J88,"")</f>
        <v/>
      </c>
      <c r="N88">
        <f>IF('Raw Data'!$B88="Control",'Raw Data'!$J88,"")</f>
        <v>69.7</v>
      </c>
      <c r="P88" t="str">
        <f>IF('Raw Data'!$B88="Mentored",'Raw Data'!$H88,"")</f>
        <v/>
      </c>
      <c r="Q88" t="str">
        <f>IF('Raw Data'!$B88="Mentored",'Raw Data'!$I88,"")</f>
        <v/>
      </c>
      <c r="R88" t="str">
        <f t="shared" si="2"/>
        <v/>
      </c>
      <c r="T88" t="str">
        <f>IF('Raw Data'!$K88="Low",'Raw Data'!$J88,"")</f>
        <v/>
      </c>
      <c r="U88">
        <f>IF('Raw Data'!$K88="Medium",'Raw Data'!$J88,"")</f>
        <v>69.7</v>
      </c>
      <c r="V88" t="str">
        <f>IF('Raw Data'!$K88="High",'Raw Data'!$J88,"")</f>
        <v/>
      </c>
    </row>
    <row r="89" spans="13:22" x14ac:dyDescent="0.3">
      <c r="M89">
        <f>IF('Raw Data'!$B89="Mentored",'Raw Data'!$J89,"")</f>
        <v>81.7</v>
      </c>
      <c r="N89" t="str">
        <f>IF('Raw Data'!$B89="Control",'Raw Data'!$J89,"")</f>
        <v/>
      </c>
      <c r="P89">
        <f>IF('Raw Data'!$B89="Mentored",'Raw Data'!$H89,"")</f>
        <v>62.3</v>
      </c>
      <c r="Q89">
        <f>IF('Raw Data'!$B89="Mentored",'Raw Data'!$I89,"")</f>
        <v>80.900000000000006</v>
      </c>
      <c r="R89">
        <f t="shared" si="2"/>
        <v>18.600000000000009</v>
      </c>
      <c r="T89" t="str">
        <f>IF('Raw Data'!$K89="Low",'Raw Data'!$J89,"")</f>
        <v/>
      </c>
      <c r="U89" t="str">
        <f>IF('Raw Data'!$K89="Medium",'Raw Data'!$J89,"")</f>
        <v/>
      </c>
      <c r="V89">
        <f>IF('Raw Data'!$K89="High",'Raw Data'!$J89,"")</f>
        <v>81.7</v>
      </c>
    </row>
    <row r="90" spans="13:22" x14ac:dyDescent="0.3">
      <c r="M90">
        <f>IF('Raw Data'!$B90="Mentored",'Raw Data'!$J90,"")</f>
        <v>75.2</v>
      </c>
      <c r="N90" t="str">
        <f>IF('Raw Data'!$B90="Control",'Raw Data'!$J90,"")</f>
        <v/>
      </c>
      <c r="P90">
        <f>IF('Raw Data'!$B90="Mentored",'Raw Data'!$H90,"")</f>
        <v>48.2</v>
      </c>
      <c r="Q90">
        <f>IF('Raw Data'!$B90="Mentored",'Raw Data'!$I90,"")</f>
        <v>61.7</v>
      </c>
      <c r="R90">
        <f t="shared" si="2"/>
        <v>13.5</v>
      </c>
      <c r="T90" t="str">
        <f>IF('Raw Data'!$K90="Low",'Raw Data'!$J90,"")</f>
        <v/>
      </c>
      <c r="U90">
        <f>IF('Raw Data'!$K90="Medium",'Raw Data'!$J90,"")</f>
        <v>75.2</v>
      </c>
      <c r="V90" t="str">
        <f>IF('Raw Data'!$K90="High",'Raw Data'!$J90,"")</f>
        <v/>
      </c>
    </row>
    <row r="91" spans="13:22" x14ac:dyDescent="0.3">
      <c r="M91" t="str">
        <f>IF('Raw Data'!$B91="Mentored",'Raw Data'!$J91,"")</f>
        <v/>
      </c>
      <c r="N91">
        <f>IF('Raw Data'!$B91="Control",'Raw Data'!$J91,"")</f>
        <v>66.5</v>
      </c>
      <c r="P91" t="str">
        <f>IF('Raw Data'!$B91="Mentored",'Raw Data'!$H91,"")</f>
        <v/>
      </c>
      <c r="Q91" t="str">
        <f>IF('Raw Data'!$B91="Mentored",'Raw Data'!$I91,"")</f>
        <v/>
      </c>
      <c r="R91" t="str">
        <f t="shared" si="2"/>
        <v/>
      </c>
      <c r="T91" t="str">
        <f>IF('Raw Data'!$K91="Low",'Raw Data'!$J91,"")</f>
        <v/>
      </c>
      <c r="U91">
        <f>IF('Raw Data'!$K91="Medium",'Raw Data'!$J91,"")</f>
        <v>66.5</v>
      </c>
      <c r="V91" t="str">
        <f>IF('Raw Data'!$K91="High",'Raw Data'!$J91,"")</f>
        <v/>
      </c>
    </row>
    <row r="92" spans="13:22" x14ac:dyDescent="0.3">
      <c r="M92" t="str">
        <f>IF('Raw Data'!$B92="Mentored",'Raw Data'!$J92,"")</f>
        <v/>
      </c>
      <c r="N92">
        <f>IF('Raw Data'!$B92="Control",'Raw Data'!$J92,"")</f>
        <v>82.3</v>
      </c>
      <c r="P92" t="str">
        <f>IF('Raw Data'!$B92="Mentored",'Raw Data'!$H92,"")</f>
        <v/>
      </c>
      <c r="Q92" t="str">
        <f>IF('Raw Data'!$B92="Mentored",'Raw Data'!$I92,"")</f>
        <v/>
      </c>
      <c r="R92" t="str">
        <f t="shared" si="2"/>
        <v/>
      </c>
      <c r="T92" t="str">
        <f>IF('Raw Data'!$K92="Low",'Raw Data'!$J92,"")</f>
        <v/>
      </c>
      <c r="U92" t="str">
        <f>IF('Raw Data'!$K92="Medium",'Raw Data'!$J92,"")</f>
        <v/>
      </c>
      <c r="V92">
        <f>IF('Raw Data'!$K92="High",'Raw Data'!$J92,"")</f>
        <v>82.3</v>
      </c>
    </row>
    <row r="93" spans="13:22" x14ac:dyDescent="0.3">
      <c r="M93">
        <f>IF('Raw Data'!$B93="Mentored",'Raw Data'!$J93,"")</f>
        <v>68.7</v>
      </c>
      <c r="N93" t="str">
        <f>IF('Raw Data'!$B93="Control",'Raw Data'!$J93,"")</f>
        <v/>
      </c>
      <c r="P93">
        <f>IF('Raw Data'!$B93="Mentored",'Raw Data'!$H93,"")</f>
        <v>58.9</v>
      </c>
      <c r="Q93">
        <f>IF('Raw Data'!$B93="Mentored",'Raw Data'!$I93,"")</f>
        <v>70.3</v>
      </c>
      <c r="R93">
        <f t="shared" si="2"/>
        <v>11.399999999999999</v>
      </c>
      <c r="T93">
        <f>IF('Raw Data'!$K93="Low",'Raw Data'!$J93,"")</f>
        <v>68.7</v>
      </c>
      <c r="U93" t="str">
        <f>IF('Raw Data'!$K93="Medium",'Raw Data'!$J93,"")</f>
        <v/>
      </c>
      <c r="V93" t="str">
        <f>IF('Raw Data'!$K93="High",'Raw Data'!$J93,"")</f>
        <v/>
      </c>
    </row>
    <row r="94" spans="13:22" x14ac:dyDescent="0.3">
      <c r="M94">
        <f>IF('Raw Data'!$B94="Mentored",'Raw Data'!$J94,"")</f>
        <v>88</v>
      </c>
      <c r="N94" t="str">
        <f>IF('Raw Data'!$B94="Control",'Raw Data'!$J94,"")</f>
        <v/>
      </c>
      <c r="P94">
        <f>IF('Raw Data'!$B94="Mentored",'Raw Data'!$H94,"")</f>
        <v>62.9</v>
      </c>
      <c r="Q94">
        <f>IF('Raw Data'!$B94="Mentored",'Raw Data'!$I94,"")</f>
        <v>79.099999999999994</v>
      </c>
      <c r="R94">
        <f t="shared" si="2"/>
        <v>16.199999999999996</v>
      </c>
      <c r="T94" t="str">
        <f>IF('Raw Data'!$K94="Low",'Raw Data'!$J94,"")</f>
        <v/>
      </c>
      <c r="U94" t="str">
        <f>IF('Raw Data'!$K94="Medium",'Raw Data'!$J94,"")</f>
        <v/>
      </c>
      <c r="V94">
        <f>IF('Raw Data'!$K94="High",'Raw Data'!$J94,"")</f>
        <v>88</v>
      </c>
    </row>
    <row r="95" spans="13:22" x14ac:dyDescent="0.3">
      <c r="M95">
        <f>IF('Raw Data'!$B95="Mentored",'Raw Data'!$J95,"")</f>
        <v>77.599999999999994</v>
      </c>
      <c r="N95" t="str">
        <f>IF('Raw Data'!$B95="Control",'Raw Data'!$J95,"")</f>
        <v/>
      </c>
      <c r="P95">
        <f>IF('Raw Data'!$B95="Mentored",'Raw Data'!$H95,"")</f>
        <v>63</v>
      </c>
      <c r="Q95">
        <f>IF('Raw Data'!$B95="Mentored",'Raw Data'!$I95,"")</f>
        <v>80.7</v>
      </c>
      <c r="R95">
        <f t="shared" si="2"/>
        <v>17.700000000000003</v>
      </c>
      <c r="T95" t="str">
        <f>IF('Raw Data'!$K95="Low",'Raw Data'!$J95,"")</f>
        <v/>
      </c>
      <c r="U95">
        <f>IF('Raw Data'!$K95="Medium",'Raw Data'!$J95,"")</f>
        <v>77.599999999999994</v>
      </c>
      <c r="V95" t="str">
        <f>IF('Raw Data'!$K95="High",'Raw Data'!$J95,"")</f>
        <v/>
      </c>
    </row>
    <row r="96" spans="13:22" x14ac:dyDescent="0.3">
      <c r="M96" t="str">
        <f>IF('Raw Data'!$B96="Mentored",'Raw Data'!$J96,"")</f>
        <v/>
      </c>
      <c r="N96">
        <f>IF('Raw Data'!$B96="Control",'Raw Data'!$J96,"")</f>
        <v>69.099999999999994</v>
      </c>
      <c r="P96" t="str">
        <f>IF('Raw Data'!$B96="Mentored",'Raw Data'!$H96,"")</f>
        <v/>
      </c>
      <c r="Q96" t="str">
        <f>IF('Raw Data'!$B96="Mentored",'Raw Data'!$I96,"")</f>
        <v/>
      </c>
      <c r="R96" t="str">
        <f t="shared" si="2"/>
        <v/>
      </c>
      <c r="T96">
        <f>IF('Raw Data'!$K96="Low",'Raw Data'!$J96,"")</f>
        <v>69.099999999999994</v>
      </c>
      <c r="U96" t="str">
        <f>IF('Raw Data'!$K96="Medium",'Raw Data'!$J96,"")</f>
        <v/>
      </c>
      <c r="V96" t="str">
        <f>IF('Raw Data'!$K96="High",'Raw Data'!$J96,"")</f>
        <v/>
      </c>
    </row>
    <row r="97" spans="13:22" x14ac:dyDescent="0.3">
      <c r="M97" t="str">
        <f>IF('Raw Data'!$B97="Mentored",'Raw Data'!$J97,"")</f>
        <v/>
      </c>
      <c r="N97">
        <f>IF('Raw Data'!$B97="Control",'Raw Data'!$J97,"")</f>
        <v>80.099999999999994</v>
      </c>
      <c r="P97" t="str">
        <f>IF('Raw Data'!$B97="Mentored",'Raw Data'!$H97,"")</f>
        <v/>
      </c>
      <c r="Q97" t="str">
        <f>IF('Raw Data'!$B97="Mentored",'Raw Data'!$I97,"")</f>
        <v/>
      </c>
      <c r="R97" t="str">
        <f t="shared" si="2"/>
        <v/>
      </c>
      <c r="T97" t="str">
        <f>IF('Raw Data'!$K97="Low",'Raw Data'!$J97,"")</f>
        <v/>
      </c>
      <c r="U97">
        <f>IF('Raw Data'!$K97="Medium",'Raw Data'!$J97,"")</f>
        <v>80.099999999999994</v>
      </c>
      <c r="V97" t="str">
        <f>IF('Raw Data'!$K97="High",'Raw Data'!$J97,"")</f>
        <v/>
      </c>
    </row>
    <row r="98" spans="13:22" x14ac:dyDescent="0.3">
      <c r="M98" t="str">
        <f>IF('Raw Data'!$B98="Mentored",'Raw Data'!$J98,"")</f>
        <v/>
      </c>
      <c r="N98">
        <f>IF('Raw Data'!$B98="Control",'Raw Data'!$J98,"")</f>
        <v>79.2</v>
      </c>
      <c r="P98" t="str">
        <f>IF('Raw Data'!$B98="Mentored",'Raw Data'!$H98,"")</f>
        <v/>
      </c>
      <c r="Q98" t="str">
        <f>IF('Raw Data'!$B98="Mentored",'Raw Data'!$I98,"")</f>
        <v/>
      </c>
      <c r="R98" t="str">
        <f t="shared" ref="R98:R129" si="3">IF(AND(P98&lt;&gt;"",Q98&lt;&gt;""),Q98-P98,"")</f>
        <v/>
      </c>
      <c r="T98" t="str">
        <f>IF('Raw Data'!$K98="Low",'Raw Data'!$J98,"")</f>
        <v/>
      </c>
      <c r="U98" t="str">
        <f>IF('Raw Data'!$K98="Medium",'Raw Data'!$J98,"")</f>
        <v/>
      </c>
      <c r="V98">
        <f>IF('Raw Data'!$K98="High",'Raw Data'!$J98,"")</f>
        <v>79.2</v>
      </c>
    </row>
    <row r="99" spans="13:22" x14ac:dyDescent="0.3">
      <c r="M99">
        <f>IF('Raw Data'!$B99="Mentored",'Raw Data'!$J99,"")</f>
        <v>74.599999999999994</v>
      </c>
      <c r="N99" t="str">
        <f>IF('Raw Data'!$B99="Control",'Raw Data'!$J99,"")</f>
        <v/>
      </c>
      <c r="P99">
        <f>IF('Raw Data'!$B99="Mentored",'Raw Data'!$H99,"")</f>
        <v>53.4</v>
      </c>
      <c r="Q99">
        <f>IF('Raw Data'!$B99="Mentored",'Raw Data'!$I99,"")</f>
        <v>69.8</v>
      </c>
      <c r="R99">
        <f t="shared" si="3"/>
        <v>16.399999999999999</v>
      </c>
      <c r="T99" t="str">
        <f>IF('Raw Data'!$K99="Low",'Raw Data'!$J99,"")</f>
        <v/>
      </c>
      <c r="U99">
        <f>IF('Raw Data'!$K99="Medium",'Raw Data'!$J99,"")</f>
        <v>74.599999999999994</v>
      </c>
      <c r="V99" t="str">
        <f>IF('Raw Data'!$K99="High",'Raw Data'!$J99,"")</f>
        <v/>
      </c>
    </row>
    <row r="100" spans="13:22" x14ac:dyDescent="0.3">
      <c r="M100">
        <f>IF('Raw Data'!$B100="Mentored",'Raw Data'!$J100,"")</f>
        <v>77.5</v>
      </c>
      <c r="N100" t="str">
        <f>IF('Raw Data'!$B100="Control",'Raw Data'!$J100,"")</f>
        <v/>
      </c>
      <c r="P100">
        <f>IF('Raw Data'!$B100="Mentored",'Raw Data'!$H100,"")</f>
        <v>53.5</v>
      </c>
      <c r="Q100">
        <f>IF('Raw Data'!$B100="Mentored",'Raw Data'!$I100,"")</f>
        <v>68.3</v>
      </c>
      <c r="R100">
        <f t="shared" si="3"/>
        <v>14.799999999999997</v>
      </c>
      <c r="T100" t="str">
        <f>IF('Raw Data'!$K100="Low",'Raw Data'!$J100,"")</f>
        <v/>
      </c>
      <c r="U100" t="str">
        <f>IF('Raw Data'!$K100="Medium",'Raw Data'!$J100,"")</f>
        <v/>
      </c>
      <c r="V100">
        <f>IF('Raw Data'!$K100="High",'Raw Data'!$J100,"")</f>
        <v>77.5</v>
      </c>
    </row>
    <row r="101" spans="13:22" x14ac:dyDescent="0.3">
      <c r="M101">
        <f>IF('Raw Data'!$B101="Mentored",'Raw Data'!$J101,"")</f>
        <v>79.3</v>
      </c>
      <c r="N101" t="str">
        <f>IF('Raw Data'!$B101="Control",'Raw Data'!$J101,"")</f>
        <v/>
      </c>
      <c r="P101">
        <f>IF('Raw Data'!$B101="Mentored",'Raw Data'!$H101,"")</f>
        <v>62.7</v>
      </c>
      <c r="Q101">
        <f>IF('Raw Data'!$B101="Mentored",'Raw Data'!$I101,"")</f>
        <v>78.7</v>
      </c>
      <c r="R101">
        <f t="shared" si="3"/>
        <v>16</v>
      </c>
      <c r="T101" t="str">
        <f>IF('Raw Data'!$K101="Low",'Raw Data'!$J101,"")</f>
        <v/>
      </c>
      <c r="U101">
        <f>IF('Raw Data'!$K101="Medium",'Raw Data'!$J101,"")</f>
        <v>79.3</v>
      </c>
      <c r="V101" t="str">
        <f>IF('Raw Data'!$K101="High",'Raw Data'!$J101,"")</f>
        <v/>
      </c>
    </row>
    <row r="102" spans="13:22" x14ac:dyDescent="0.3">
      <c r="M102" t="str">
        <f>IF('Raw Data'!$B102="Mentored",'Raw Data'!$J102,"")</f>
        <v/>
      </c>
      <c r="N102">
        <f>IF('Raw Data'!$B102="Control",'Raw Data'!$J102,"")</f>
        <v>96.3</v>
      </c>
      <c r="P102" t="str">
        <f>IF('Raw Data'!$B102="Mentored",'Raw Data'!$H102,"")</f>
        <v/>
      </c>
      <c r="Q102" t="str">
        <f>IF('Raw Data'!$B102="Mentored",'Raw Data'!$I102,"")</f>
        <v/>
      </c>
      <c r="R102" t="str">
        <f t="shared" si="3"/>
        <v/>
      </c>
      <c r="T102" t="str">
        <f>IF('Raw Data'!$K102="Low",'Raw Data'!$J102,"")</f>
        <v/>
      </c>
      <c r="U102" t="str">
        <f>IF('Raw Data'!$K102="Medium",'Raw Data'!$J102,"")</f>
        <v/>
      </c>
      <c r="V102">
        <f>IF('Raw Data'!$K102="High",'Raw Data'!$J102,"")</f>
        <v>96.3</v>
      </c>
    </row>
    <row r="103" spans="13:22" x14ac:dyDescent="0.3">
      <c r="M103">
        <f>IF('Raw Data'!$B103="Mentored",'Raw Data'!$J103,"")</f>
        <v>72.599999999999994</v>
      </c>
      <c r="N103" t="str">
        <f>IF('Raw Data'!$B103="Control",'Raw Data'!$J103,"")</f>
        <v/>
      </c>
      <c r="P103">
        <f>IF('Raw Data'!$B103="Mentored",'Raw Data'!$H103,"")</f>
        <v>55.9</v>
      </c>
      <c r="Q103">
        <f>IF('Raw Data'!$B103="Mentored",'Raw Data'!$I103,"")</f>
        <v>67.099999999999994</v>
      </c>
      <c r="R103">
        <f t="shared" si="3"/>
        <v>11.199999999999996</v>
      </c>
      <c r="T103" t="str">
        <f>IF('Raw Data'!$K103="Low",'Raw Data'!$J103,"")</f>
        <v/>
      </c>
      <c r="U103">
        <f>IF('Raw Data'!$K103="Medium",'Raw Data'!$J103,"")</f>
        <v>72.599999999999994</v>
      </c>
      <c r="V103" t="str">
        <f>IF('Raw Data'!$K103="High",'Raw Data'!$J103,"")</f>
        <v/>
      </c>
    </row>
    <row r="104" spans="13:22" x14ac:dyDescent="0.3">
      <c r="M104" t="str">
        <f>IF('Raw Data'!$B104="Mentored",'Raw Data'!$J104,"")</f>
        <v/>
      </c>
      <c r="N104">
        <f>IF('Raw Data'!$B104="Control",'Raw Data'!$J104,"")</f>
        <v>60.8</v>
      </c>
      <c r="P104" t="str">
        <f>IF('Raw Data'!$B104="Mentored",'Raw Data'!$H104,"")</f>
        <v/>
      </c>
      <c r="Q104" t="str">
        <f>IF('Raw Data'!$B104="Mentored",'Raw Data'!$I104,"")</f>
        <v/>
      </c>
      <c r="R104" t="str">
        <f t="shared" si="3"/>
        <v/>
      </c>
      <c r="T104" t="str">
        <f>IF('Raw Data'!$K104="Low",'Raw Data'!$J104,"")</f>
        <v/>
      </c>
      <c r="U104">
        <f>IF('Raw Data'!$K104="Medium",'Raw Data'!$J104,"")</f>
        <v>60.8</v>
      </c>
      <c r="V104" t="str">
        <f>IF('Raw Data'!$K104="High",'Raw Data'!$J104,"")</f>
        <v/>
      </c>
    </row>
    <row r="105" spans="13:22" x14ac:dyDescent="0.3">
      <c r="M105">
        <f>IF('Raw Data'!$B105="Mentored",'Raw Data'!$J105,"")</f>
        <v>66.400000000000006</v>
      </c>
      <c r="N105" t="str">
        <f>IF('Raw Data'!$B105="Control",'Raw Data'!$J105,"")</f>
        <v/>
      </c>
      <c r="P105">
        <f>IF('Raw Data'!$B105="Mentored",'Raw Data'!$H105,"")</f>
        <v>49.7</v>
      </c>
      <c r="Q105">
        <f>IF('Raw Data'!$B105="Mentored",'Raw Data'!$I105,"")</f>
        <v>65.7</v>
      </c>
      <c r="R105">
        <f t="shared" si="3"/>
        <v>16</v>
      </c>
      <c r="T105" t="str">
        <f>IF('Raw Data'!$K105="Low",'Raw Data'!$J105,"")</f>
        <v/>
      </c>
      <c r="U105" t="str">
        <f>IF('Raw Data'!$K105="Medium",'Raw Data'!$J105,"")</f>
        <v/>
      </c>
      <c r="V105">
        <f>IF('Raw Data'!$K105="High",'Raw Data'!$J105,"")</f>
        <v>66.400000000000006</v>
      </c>
    </row>
    <row r="106" spans="13:22" x14ac:dyDescent="0.3">
      <c r="M106">
        <f>IF('Raw Data'!$B106="Mentored",'Raw Data'!$J106,"")</f>
        <v>82</v>
      </c>
      <c r="N106" t="str">
        <f>IF('Raw Data'!$B106="Control",'Raw Data'!$J106,"")</f>
        <v/>
      </c>
      <c r="P106">
        <f>IF('Raw Data'!$B106="Mentored",'Raw Data'!$H106,"")</f>
        <v>59.6</v>
      </c>
      <c r="Q106">
        <f>IF('Raw Data'!$B106="Mentored",'Raw Data'!$I106,"")</f>
        <v>71.2</v>
      </c>
      <c r="R106">
        <f t="shared" si="3"/>
        <v>11.600000000000001</v>
      </c>
      <c r="T106" t="str">
        <f>IF('Raw Data'!$K106="Low",'Raw Data'!$J106,"")</f>
        <v/>
      </c>
      <c r="U106">
        <f>IF('Raw Data'!$K106="Medium",'Raw Data'!$J106,"")</f>
        <v>82</v>
      </c>
      <c r="V106" t="str">
        <f>IF('Raw Data'!$K106="High",'Raw Data'!$J106,"")</f>
        <v/>
      </c>
    </row>
    <row r="107" spans="13:22" x14ac:dyDescent="0.3">
      <c r="M107">
        <f>IF('Raw Data'!$B107="Mentored",'Raw Data'!$J107,"")</f>
        <v>77.3</v>
      </c>
      <c r="N107" t="str">
        <f>IF('Raw Data'!$B107="Control",'Raw Data'!$J107,"")</f>
        <v/>
      </c>
      <c r="P107">
        <f>IF('Raw Data'!$B107="Mentored",'Raw Data'!$H107,"")</f>
        <v>58.5</v>
      </c>
      <c r="Q107">
        <f>IF('Raw Data'!$B107="Mentored",'Raw Data'!$I107,"")</f>
        <v>77.599999999999994</v>
      </c>
      <c r="R107">
        <f t="shared" si="3"/>
        <v>19.099999999999994</v>
      </c>
      <c r="T107" t="str">
        <f>IF('Raw Data'!$K107="Low",'Raw Data'!$J107,"")</f>
        <v/>
      </c>
      <c r="U107">
        <f>IF('Raw Data'!$K107="Medium",'Raw Data'!$J107,"")</f>
        <v>77.3</v>
      </c>
      <c r="V107" t="str">
        <f>IF('Raw Data'!$K107="High",'Raw Data'!$J107,"")</f>
        <v/>
      </c>
    </row>
    <row r="108" spans="13:22" x14ac:dyDescent="0.3">
      <c r="M108">
        <f>IF('Raw Data'!$B108="Mentored",'Raw Data'!$J108,"")</f>
        <v>87.1</v>
      </c>
      <c r="N108" t="str">
        <f>IF('Raw Data'!$B108="Control",'Raw Data'!$J108,"")</f>
        <v/>
      </c>
      <c r="P108">
        <f>IF('Raw Data'!$B108="Mentored",'Raw Data'!$H108,"")</f>
        <v>61.8</v>
      </c>
      <c r="Q108">
        <f>IF('Raw Data'!$B108="Mentored",'Raw Data'!$I108,"")</f>
        <v>77.599999999999994</v>
      </c>
      <c r="R108">
        <f t="shared" si="3"/>
        <v>15.799999999999997</v>
      </c>
      <c r="T108" t="str">
        <f>IF('Raw Data'!$K108="Low",'Raw Data'!$J108,"")</f>
        <v/>
      </c>
      <c r="U108" t="str">
        <f>IF('Raw Data'!$K108="Medium",'Raw Data'!$J108,"")</f>
        <v/>
      </c>
      <c r="V108">
        <f>IF('Raw Data'!$K108="High",'Raw Data'!$J108,"")</f>
        <v>87.1</v>
      </c>
    </row>
    <row r="109" spans="13:22" x14ac:dyDescent="0.3">
      <c r="M109" t="str">
        <f>IF('Raw Data'!$B109="Mentored",'Raw Data'!$J109,"")</f>
        <v/>
      </c>
      <c r="N109">
        <f>IF('Raw Data'!$B109="Control",'Raw Data'!$J109,"")</f>
        <v>82.1</v>
      </c>
      <c r="P109" t="str">
        <f>IF('Raw Data'!$B109="Mentored",'Raw Data'!$H109,"")</f>
        <v/>
      </c>
      <c r="Q109" t="str">
        <f>IF('Raw Data'!$B109="Mentored",'Raw Data'!$I109,"")</f>
        <v/>
      </c>
      <c r="R109" t="str">
        <f t="shared" si="3"/>
        <v/>
      </c>
      <c r="T109" t="str">
        <f>IF('Raw Data'!$K109="Low",'Raw Data'!$J109,"")</f>
        <v/>
      </c>
      <c r="U109">
        <f>IF('Raw Data'!$K109="Medium",'Raw Data'!$J109,"")</f>
        <v>82.1</v>
      </c>
      <c r="V109" t="str">
        <f>IF('Raw Data'!$K109="High",'Raw Data'!$J109,"")</f>
        <v/>
      </c>
    </row>
    <row r="110" spans="13:22" x14ac:dyDescent="0.3">
      <c r="M110">
        <f>IF('Raw Data'!$B110="Mentored",'Raw Data'!$J110,"")</f>
        <v>83.7</v>
      </c>
      <c r="N110" t="str">
        <f>IF('Raw Data'!$B110="Control",'Raw Data'!$J110,"")</f>
        <v/>
      </c>
      <c r="P110">
        <f>IF('Raw Data'!$B110="Mentored",'Raw Data'!$H110,"")</f>
        <v>60.7</v>
      </c>
      <c r="Q110">
        <f>IF('Raw Data'!$B110="Mentored",'Raw Data'!$I110,"")</f>
        <v>72.5</v>
      </c>
      <c r="R110">
        <f t="shared" si="3"/>
        <v>11.799999999999997</v>
      </c>
      <c r="T110" t="str">
        <f>IF('Raw Data'!$K110="Low",'Raw Data'!$J110,"")</f>
        <v/>
      </c>
      <c r="U110" t="str">
        <f>IF('Raw Data'!$K110="Medium",'Raw Data'!$J110,"")</f>
        <v/>
      </c>
      <c r="V110">
        <f>IF('Raw Data'!$K110="High",'Raw Data'!$J110,"")</f>
        <v>83.7</v>
      </c>
    </row>
    <row r="111" spans="13:22" x14ac:dyDescent="0.3">
      <c r="M111">
        <f>IF('Raw Data'!$B111="Mentored",'Raw Data'!$J111,"")</f>
        <v>93.3</v>
      </c>
      <c r="N111" t="str">
        <f>IF('Raw Data'!$B111="Control",'Raw Data'!$J111,"")</f>
        <v/>
      </c>
      <c r="P111">
        <f>IF('Raw Data'!$B111="Mentored",'Raw Data'!$H111,"")</f>
        <v>71.099999999999994</v>
      </c>
      <c r="Q111">
        <f>IF('Raw Data'!$B111="Mentored",'Raw Data'!$I111,"")</f>
        <v>81.7</v>
      </c>
      <c r="R111">
        <f t="shared" si="3"/>
        <v>10.600000000000009</v>
      </c>
      <c r="T111" t="str">
        <f>IF('Raw Data'!$K111="Low",'Raw Data'!$J111,"")</f>
        <v/>
      </c>
      <c r="U111">
        <f>IF('Raw Data'!$K111="Medium",'Raw Data'!$J111,"")</f>
        <v>93.3</v>
      </c>
      <c r="V111" t="str">
        <f>IF('Raw Data'!$K111="High",'Raw Data'!$J111,"")</f>
        <v/>
      </c>
    </row>
    <row r="112" spans="13:22" x14ac:dyDescent="0.3">
      <c r="M112">
        <f>IF('Raw Data'!$B112="Mentored",'Raw Data'!$J112,"")</f>
        <v>69.7</v>
      </c>
      <c r="N112" t="str">
        <f>IF('Raw Data'!$B112="Control",'Raw Data'!$J112,"")</f>
        <v/>
      </c>
      <c r="P112">
        <f>IF('Raw Data'!$B112="Mentored",'Raw Data'!$H112,"")</f>
        <v>54.1</v>
      </c>
      <c r="Q112">
        <f>IF('Raw Data'!$B112="Mentored",'Raw Data'!$I112,"")</f>
        <v>66.5</v>
      </c>
      <c r="R112">
        <f t="shared" si="3"/>
        <v>12.399999999999999</v>
      </c>
      <c r="T112">
        <f>IF('Raw Data'!$K112="Low",'Raw Data'!$J112,"")</f>
        <v>69.7</v>
      </c>
      <c r="U112" t="str">
        <f>IF('Raw Data'!$K112="Medium",'Raw Data'!$J112,"")</f>
        <v/>
      </c>
      <c r="V112" t="str">
        <f>IF('Raw Data'!$K112="High",'Raw Data'!$J112,"")</f>
        <v/>
      </c>
    </row>
    <row r="113" spans="13:22" x14ac:dyDescent="0.3">
      <c r="M113" t="str">
        <f>IF('Raw Data'!$B113="Mentored",'Raw Data'!$J113,"")</f>
        <v/>
      </c>
      <c r="N113">
        <f>IF('Raw Data'!$B113="Control",'Raw Data'!$J113,"")</f>
        <v>72.2</v>
      </c>
      <c r="P113" t="str">
        <f>IF('Raw Data'!$B113="Mentored",'Raw Data'!$H113,"")</f>
        <v/>
      </c>
      <c r="Q113" t="str">
        <f>IF('Raw Data'!$B113="Mentored",'Raw Data'!$I113,"")</f>
        <v/>
      </c>
      <c r="R113" t="str">
        <f t="shared" si="3"/>
        <v/>
      </c>
      <c r="T113" t="str">
        <f>IF('Raw Data'!$K113="Low",'Raw Data'!$J113,"")</f>
        <v/>
      </c>
      <c r="U113">
        <f>IF('Raw Data'!$K113="Medium",'Raw Data'!$J113,"")</f>
        <v>72.2</v>
      </c>
      <c r="V113" t="str">
        <f>IF('Raw Data'!$K113="High",'Raw Data'!$J113,"")</f>
        <v/>
      </c>
    </row>
    <row r="114" spans="13:22" x14ac:dyDescent="0.3">
      <c r="M114">
        <f>IF('Raw Data'!$B114="Mentored",'Raw Data'!$J114,"")</f>
        <v>85.3</v>
      </c>
      <c r="N114" t="str">
        <f>IF('Raw Data'!$B114="Control",'Raw Data'!$J114,"")</f>
        <v/>
      </c>
      <c r="P114">
        <f>IF('Raw Data'!$B114="Mentored",'Raw Data'!$H114,"")</f>
        <v>67.400000000000006</v>
      </c>
      <c r="Q114">
        <f>IF('Raw Data'!$B114="Mentored",'Raw Data'!$I114,"")</f>
        <v>81.3</v>
      </c>
      <c r="R114">
        <f t="shared" si="3"/>
        <v>13.899999999999991</v>
      </c>
      <c r="T114" t="str">
        <f>IF('Raw Data'!$K114="Low",'Raw Data'!$J114,"")</f>
        <v/>
      </c>
      <c r="U114">
        <f>IF('Raw Data'!$K114="Medium",'Raw Data'!$J114,"")</f>
        <v>85.3</v>
      </c>
      <c r="V114" t="str">
        <f>IF('Raw Data'!$K114="High",'Raw Data'!$J114,"")</f>
        <v/>
      </c>
    </row>
    <row r="115" spans="13:22" x14ac:dyDescent="0.3">
      <c r="M115">
        <f>IF('Raw Data'!$B115="Mentored",'Raw Data'!$J115,"")</f>
        <v>73.5</v>
      </c>
      <c r="N115" t="str">
        <f>IF('Raw Data'!$B115="Control",'Raw Data'!$J115,"")</f>
        <v/>
      </c>
      <c r="P115">
        <f>IF('Raw Data'!$B115="Mentored",'Raw Data'!$H115,"")</f>
        <v>48.4</v>
      </c>
      <c r="Q115">
        <f>IF('Raw Data'!$B115="Mentored",'Raw Data'!$I115,"")</f>
        <v>65.5</v>
      </c>
      <c r="R115">
        <f t="shared" si="3"/>
        <v>17.100000000000001</v>
      </c>
      <c r="T115" t="str">
        <f>IF('Raw Data'!$K115="Low",'Raw Data'!$J115,"")</f>
        <v/>
      </c>
      <c r="U115" t="str">
        <f>IF('Raw Data'!$K115="Medium",'Raw Data'!$J115,"")</f>
        <v/>
      </c>
      <c r="V115">
        <f>IF('Raw Data'!$K115="High",'Raw Data'!$J115,"")</f>
        <v>73.5</v>
      </c>
    </row>
    <row r="116" spans="13:22" x14ac:dyDescent="0.3">
      <c r="M116" t="str">
        <f>IF('Raw Data'!$B116="Mentored",'Raw Data'!$J116,"")</f>
        <v/>
      </c>
      <c r="N116">
        <f>IF('Raw Data'!$B116="Control",'Raw Data'!$J116,"")</f>
        <v>73.599999999999994</v>
      </c>
      <c r="P116" t="str">
        <f>IF('Raw Data'!$B116="Mentored",'Raw Data'!$H116,"")</f>
        <v/>
      </c>
      <c r="Q116" t="str">
        <f>IF('Raw Data'!$B116="Mentored",'Raw Data'!$I116,"")</f>
        <v/>
      </c>
      <c r="R116" t="str">
        <f t="shared" si="3"/>
        <v/>
      </c>
      <c r="T116">
        <f>IF('Raw Data'!$K116="Low",'Raw Data'!$J116,"")</f>
        <v>73.599999999999994</v>
      </c>
      <c r="U116" t="str">
        <f>IF('Raw Data'!$K116="Medium",'Raw Data'!$J116,"")</f>
        <v/>
      </c>
      <c r="V116" t="str">
        <f>IF('Raw Data'!$K116="High",'Raw Data'!$J116,"")</f>
        <v/>
      </c>
    </row>
    <row r="117" spans="13:22" x14ac:dyDescent="0.3">
      <c r="M117">
        <f>IF('Raw Data'!$B117="Mentored",'Raw Data'!$J117,"")</f>
        <v>69.400000000000006</v>
      </c>
      <c r="N117" t="str">
        <f>IF('Raw Data'!$B117="Control",'Raw Data'!$J117,"")</f>
        <v/>
      </c>
      <c r="P117">
        <f>IF('Raw Data'!$B117="Mentored",'Raw Data'!$H117,"")</f>
        <v>62.8</v>
      </c>
      <c r="Q117">
        <f>IF('Raw Data'!$B117="Mentored",'Raw Data'!$I117,"")</f>
        <v>78.400000000000006</v>
      </c>
      <c r="R117">
        <f t="shared" si="3"/>
        <v>15.600000000000009</v>
      </c>
      <c r="T117" t="str">
        <f>IF('Raw Data'!$K117="Low",'Raw Data'!$J117,"")</f>
        <v/>
      </c>
      <c r="U117">
        <f>IF('Raw Data'!$K117="Medium",'Raw Data'!$J117,"")</f>
        <v>69.400000000000006</v>
      </c>
      <c r="V117" t="str">
        <f>IF('Raw Data'!$K117="High",'Raw Data'!$J117,"")</f>
        <v/>
      </c>
    </row>
    <row r="118" spans="13:22" x14ac:dyDescent="0.3">
      <c r="M118" t="str">
        <f>IF('Raw Data'!$B118="Mentored",'Raw Data'!$J118,"")</f>
        <v/>
      </c>
      <c r="N118">
        <f>IF('Raw Data'!$B118="Control",'Raw Data'!$J118,"")</f>
        <v>61.5</v>
      </c>
      <c r="P118" t="str">
        <f>IF('Raw Data'!$B118="Mentored",'Raw Data'!$H118,"")</f>
        <v/>
      </c>
      <c r="Q118" t="str">
        <f>IF('Raw Data'!$B118="Mentored",'Raw Data'!$I118,"")</f>
        <v/>
      </c>
      <c r="R118" t="str">
        <f t="shared" si="3"/>
        <v/>
      </c>
      <c r="T118" t="str">
        <f>IF('Raw Data'!$K118="Low",'Raw Data'!$J118,"")</f>
        <v/>
      </c>
      <c r="U118">
        <f>IF('Raw Data'!$K118="Medium",'Raw Data'!$J118,"")</f>
        <v>61.5</v>
      </c>
      <c r="V118" t="str">
        <f>IF('Raw Data'!$K118="High",'Raw Data'!$J118,"")</f>
        <v/>
      </c>
    </row>
    <row r="119" spans="13:22" x14ac:dyDescent="0.3">
      <c r="M119" t="str">
        <f>IF('Raw Data'!$B119="Mentored",'Raw Data'!$J119,"")</f>
        <v/>
      </c>
      <c r="N119">
        <f>IF('Raw Data'!$B119="Control",'Raw Data'!$J119,"")</f>
        <v>75.900000000000006</v>
      </c>
      <c r="P119" t="str">
        <f>IF('Raw Data'!$B119="Mentored",'Raw Data'!$H119,"")</f>
        <v/>
      </c>
      <c r="Q119" t="str">
        <f>IF('Raw Data'!$B119="Mentored",'Raw Data'!$I119,"")</f>
        <v/>
      </c>
      <c r="R119" t="str">
        <f t="shared" si="3"/>
        <v/>
      </c>
      <c r="T119">
        <f>IF('Raw Data'!$K119="Low",'Raw Data'!$J119,"")</f>
        <v>75.900000000000006</v>
      </c>
      <c r="U119" t="str">
        <f>IF('Raw Data'!$K119="Medium",'Raw Data'!$J119,"")</f>
        <v/>
      </c>
      <c r="V119" t="str">
        <f>IF('Raw Data'!$K119="High",'Raw Data'!$J119,"")</f>
        <v/>
      </c>
    </row>
    <row r="120" spans="13:22" x14ac:dyDescent="0.3">
      <c r="M120" t="str">
        <f>IF('Raw Data'!$B120="Mentored",'Raw Data'!$J120,"")</f>
        <v/>
      </c>
      <c r="N120">
        <f>IF('Raw Data'!$B120="Control",'Raw Data'!$J120,"")</f>
        <v>72.3</v>
      </c>
      <c r="P120" t="str">
        <f>IF('Raw Data'!$B120="Mentored",'Raw Data'!$H120,"")</f>
        <v/>
      </c>
      <c r="Q120" t="str">
        <f>IF('Raw Data'!$B120="Mentored",'Raw Data'!$I120,"")</f>
        <v/>
      </c>
      <c r="R120" t="str">
        <f t="shared" si="3"/>
        <v/>
      </c>
      <c r="T120" t="str">
        <f>IF('Raw Data'!$K120="Low",'Raw Data'!$J120,"")</f>
        <v/>
      </c>
      <c r="U120">
        <f>IF('Raw Data'!$K120="Medium",'Raw Data'!$J120,"")</f>
        <v>72.3</v>
      </c>
      <c r="V120" t="str">
        <f>IF('Raw Data'!$K120="High",'Raw Data'!$J120,"")</f>
        <v/>
      </c>
    </row>
    <row r="121" spans="13:22" x14ac:dyDescent="0.3">
      <c r="M121">
        <f>IF('Raw Data'!$B121="Mentored",'Raw Data'!$J121,"")</f>
        <v>92.8</v>
      </c>
      <c r="N121" t="str">
        <f>IF('Raw Data'!$B121="Control",'Raw Data'!$J121,"")</f>
        <v/>
      </c>
      <c r="P121">
        <f>IF('Raw Data'!$B121="Mentored",'Raw Data'!$H121,"")</f>
        <v>76.900000000000006</v>
      </c>
      <c r="Q121">
        <f>IF('Raw Data'!$B121="Mentored",'Raw Data'!$I121,"")</f>
        <v>89.3</v>
      </c>
      <c r="R121">
        <f t="shared" si="3"/>
        <v>12.399999999999991</v>
      </c>
      <c r="T121" t="str">
        <f>IF('Raw Data'!$K121="Low",'Raw Data'!$J121,"")</f>
        <v/>
      </c>
      <c r="U121" t="str">
        <f>IF('Raw Data'!$K121="Medium",'Raw Data'!$J121,"")</f>
        <v/>
      </c>
      <c r="V121">
        <f>IF('Raw Data'!$K121="High",'Raw Data'!$J121,"")</f>
        <v>92.8</v>
      </c>
    </row>
  </sheetData>
  <mergeCells count="9">
    <mergeCell ref="A50:I50"/>
    <mergeCell ref="A4:I4"/>
    <mergeCell ref="A51:I52"/>
    <mergeCell ref="A20:I21"/>
    <mergeCell ref="A19:I19"/>
    <mergeCell ref="A5:I6"/>
    <mergeCell ref="A35:I36"/>
    <mergeCell ref="A1:I2"/>
    <mergeCell ref="A34:I34"/>
  </mergeCells>
  <conditionalFormatting sqref="B31">
    <cfRule type="cellIs" dxfId="7" priority="3" operator="lessThan">
      <formula>0.05</formula>
    </cfRule>
    <cfRule type="cellIs" dxfId="6" priority="4" operator="greaterThanOrEqual">
      <formula>0.05</formula>
    </cfRule>
  </conditionalFormatting>
  <conditionalFormatting sqref="B42">
    <cfRule type="cellIs" dxfId="5" priority="5" operator="lessThan">
      <formula>0.05</formula>
    </cfRule>
    <cfRule type="cellIs" dxfId="4" priority="6" operator="greaterThanOrEqual">
      <formula>0.05</formula>
    </cfRule>
  </conditionalFormatting>
  <conditionalFormatting sqref="D14">
    <cfRule type="cellIs" dxfId="3" priority="1" operator="lessThan">
      <formula>0.05</formula>
    </cfRule>
    <cfRule type="cellIs" dxfId="2" priority="2" operator="greaterThanOrEqual">
      <formula>0.05</formula>
    </cfRule>
  </conditionalFormatting>
  <conditionalFormatting sqref="E66">
    <cfRule type="cellIs" dxfId="1" priority="7" operator="lessThan">
      <formula>0.05</formula>
    </cfRule>
    <cfRule type="cellIs" dxfId="0" priority="8" operator="greaterThanOrEqual">
      <formula>0.05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showGridLines="0" topLeftCell="A6" workbookViewId="0">
      <selection sqref="A1:F2"/>
    </sheetView>
  </sheetViews>
  <sheetFormatPr defaultRowHeight="14.4" x14ac:dyDescent="0.3"/>
  <cols>
    <col min="1" max="1" width="18" customWidth="1"/>
    <col min="2" max="2" width="22" customWidth="1"/>
    <col min="3" max="3" width="28" customWidth="1"/>
    <col min="4" max="4" width="34" customWidth="1"/>
    <col min="5" max="5" width="26" customWidth="1"/>
    <col min="6" max="6" width="30" customWidth="1"/>
  </cols>
  <sheetData>
    <row r="1" spans="1:6" x14ac:dyDescent="0.3">
      <c r="A1" s="61" t="s">
        <v>328</v>
      </c>
      <c r="B1" s="34"/>
      <c r="C1" s="34"/>
      <c r="D1" s="34"/>
      <c r="E1" s="34"/>
      <c r="F1" s="34"/>
    </row>
    <row r="2" spans="1:6" x14ac:dyDescent="0.3">
      <c r="A2" s="34"/>
      <c r="B2" s="34"/>
      <c r="C2" s="34"/>
      <c r="D2" s="34"/>
      <c r="E2" s="34"/>
      <c r="F2" s="34"/>
    </row>
    <row r="4" spans="1:6" x14ac:dyDescent="0.3">
      <c r="A4" s="5" t="s">
        <v>329</v>
      </c>
      <c r="B4" s="5" t="s">
        <v>330</v>
      </c>
      <c r="C4" s="5" t="s">
        <v>331</v>
      </c>
      <c r="D4" s="5" t="s">
        <v>332</v>
      </c>
      <c r="E4" s="5" t="s">
        <v>333</v>
      </c>
      <c r="F4" s="5" t="s">
        <v>334</v>
      </c>
    </row>
    <row r="5" spans="1:6" ht="41.4" x14ac:dyDescent="0.3">
      <c r="A5" s="6" t="s">
        <v>21</v>
      </c>
      <c r="B5" s="6" t="s">
        <v>335</v>
      </c>
      <c r="C5" s="6" t="s">
        <v>336</v>
      </c>
      <c r="D5" s="6" t="s">
        <v>337</v>
      </c>
      <c r="E5" s="6" t="s">
        <v>338</v>
      </c>
      <c r="F5" s="6" t="s">
        <v>339</v>
      </c>
    </row>
    <row r="6" spans="1:6" ht="55.2" x14ac:dyDescent="0.3">
      <c r="A6" s="7" t="s">
        <v>340</v>
      </c>
      <c r="B6" s="7" t="s">
        <v>341</v>
      </c>
      <c r="C6" s="7" t="s">
        <v>342</v>
      </c>
      <c r="D6" s="7" t="s">
        <v>343</v>
      </c>
      <c r="E6" s="7" t="s">
        <v>344</v>
      </c>
      <c r="F6" s="7" t="s">
        <v>345</v>
      </c>
    </row>
    <row r="7" spans="1:6" ht="41.4" x14ac:dyDescent="0.3">
      <c r="A7" s="6" t="s">
        <v>33</v>
      </c>
      <c r="B7" s="6" t="s">
        <v>346</v>
      </c>
      <c r="C7" s="6" t="s">
        <v>347</v>
      </c>
      <c r="D7" s="6" t="s">
        <v>348</v>
      </c>
      <c r="E7" s="6" t="s">
        <v>349</v>
      </c>
      <c r="F7" s="6" t="s">
        <v>350</v>
      </c>
    </row>
    <row r="8" spans="1:6" ht="41.4" x14ac:dyDescent="0.3">
      <c r="A8" s="7" t="s">
        <v>351</v>
      </c>
      <c r="B8" s="7" t="s">
        <v>352</v>
      </c>
      <c r="C8" s="7" t="s">
        <v>353</v>
      </c>
      <c r="D8" s="7" t="s">
        <v>354</v>
      </c>
      <c r="E8" s="7" t="s">
        <v>355</v>
      </c>
      <c r="F8" s="7" t="s">
        <v>356</v>
      </c>
    </row>
    <row r="9" spans="1:6" ht="55.2" x14ac:dyDescent="0.3">
      <c r="A9" s="6" t="s">
        <v>357</v>
      </c>
      <c r="B9" s="6" t="s">
        <v>358</v>
      </c>
      <c r="C9" s="6" t="s">
        <v>359</v>
      </c>
      <c r="D9" s="6" t="s">
        <v>360</v>
      </c>
      <c r="E9" s="6" t="s">
        <v>361</v>
      </c>
      <c r="F9" s="6" t="s">
        <v>362</v>
      </c>
    </row>
    <row r="10" spans="1:6" ht="55.2" x14ac:dyDescent="0.3">
      <c r="A10" s="7" t="s">
        <v>45</v>
      </c>
      <c r="B10" s="7" t="s">
        <v>363</v>
      </c>
      <c r="C10" s="7" t="s">
        <v>364</v>
      </c>
      <c r="D10" s="7" t="s">
        <v>365</v>
      </c>
      <c r="E10" s="7" t="s">
        <v>366</v>
      </c>
      <c r="F10" s="7" t="s">
        <v>367</v>
      </c>
    </row>
    <row r="13" spans="1:6" x14ac:dyDescent="0.3">
      <c r="A13" s="45" t="s">
        <v>368</v>
      </c>
      <c r="B13" s="46"/>
      <c r="C13" s="46"/>
      <c r="D13" s="46"/>
      <c r="E13" s="46"/>
      <c r="F13" s="47"/>
    </row>
    <row r="14" spans="1:6" x14ac:dyDescent="0.3">
      <c r="A14" s="48"/>
      <c r="B14" s="34"/>
      <c r="C14" s="34"/>
      <c r="D14" s="34"/>
      <c r="E14" s="34"/>
      <c r="F14" s="49"/>
    </row>
    <row r="15" spans="1:6" x14ac:dyDescent="0.3">
      <c r="A15" s="50"/>
      <c r="B15" s="51"/>
      <c r="C15" s="51"/>
      <c r="D15" s="51"/>
      <c r="E15" s="51"/>
      <c r="F15" s="52"/>
    </row>
  </sheetData>
  <mergeCells count="2">
    <mergeCell ref="A13:F15"/>
    <mergeCell ref="A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showGridLines="0" tabSelected="1" topLeftCell="A29" workbookViewId="0">
      <selection sqref="A1:L2"/>
    </sheetView>
  </sheetViews>
  <sheetFormatPr defaultRowHeight="14.4" x14ac:dyDescent="0.3"/>
  <cols>
    <col min="1" max="12" width="16" customWidth="1"/>
  </cols>
  <sheetData>
    <row r="1" spans="1:12" ht="24" customHeight="1" x14ac:dyDescent="0.3">
      <c r="A1" s="61" t="s">
        <v>369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4" customHeigh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4" customHeight="1" x14ac:dyDescent="0.3"/>
    <row r="4" spans="1:12" ht="24" customHeight="1" x14ac:dyDescent="0.3">
      <c r="A4" s="107" t="s">
        <v>370</v>
      </c>
      <c r="B4" s="66"/>
      <c r="C4" s="67"/>
      <c r="D4" s="109" t="s">
        <v>371</v>
      </c>
      <c r="E4" s="78"/>
      <c r="F4" s="79"/>
      <c r="G4" s="108" t="s">
        <v>372</v>
      </c>
      <c r="H4" s="72"/>
      <c r="I4" s="73"/>
      <c r="J4" s="110" t="s">
        <v>373</v>
      </c>
      <c r="K4" s="84"/>
      <c r="L4" s="85"/>
    </row>
    <row r="5" spans="1:12" ht="24" customHeight="1" x14ac:dyDescent="0.3">
      <c r="A5" s="68"/>
      <c r="B5" s="69"/>
      <c r="C5" s="70"/>
      <c r="D5" s="80"/>
      <c r="E5" s="81"/>
      <c r="F5" s="82"/>
      <c r="G5" s="74"/>
      <c r="H5" s="75"/>
      <c r="I5" s="76"/>
      <c r="J5" s="86"/>
      <c r="K5" s="87"/>
      <c r="L5" s="88"/>
    </row>
    <row r="6" spans="1:12" ht="24" customHeight="1" x14ac:dyDescent="0.3">
      <c r="A6" s="65">
        <f>'Descriptive Stats'!B11</f>
        <v>77.612500000000011</v>
      </c>
      <c r="B6" s="66"/>
      <c r="C6" s="67"/>
      <c r="D6" s="77">
        <f>'Test Results'!B10</f>
        <v>79.981666666666655</v>
      </c>
      <c r="E6" s="78"/>
      <c r="F6" s="79"/>
      <c r="G6" s="71">
        <f>'Test Results'!C10</f>
        <v>75.243333333333339</v>
      </c>
      <c r="H6" s="72"/>
      <c r="I6" s="73"/>
      <c r="J6" s="83">
        <f>'Test Results'!B40</f>
        <v>0.5212061061053157</v>
      </c>
      <c r="K6" s="84"/>
      <c r="L6" s="85"/>
    </row>
    <row r="7" spans="1:12" ht="24" customHeight="1" x14ac:dyDescent="0.3">
      <c r="A7" s="68"/>
      <c r="B7" s="69"/>
      <c r="C7" s="70"/>
      <c r="D7" s="80"/>
      <c r="E7" s="81"/>
      <c r="F7" s="82"/>
      <c r="G7" s="74"/>
      <c r="H7" s="75"/>
      <c r="I7" s="76"/>
      <c r="J7" s="86"/>
      <c r="K7" s="87"/>
      <c r="L7" s="88"/>
    </row>
    <row r="8" spans="1:12" ht="24" customHeight="1" x14ac:dyDescent="0.3"/>
    <row r="9" spans="1:12" ht="24" customHeight="1" x14ac:dyDescent="0.3">
      <c r="A9" s="111" t="e">
        <f ca="1">IF(AND('Test Results'!D14&lt;0.05,'Test Results'!B31&lt;0.05,'Test Results'!B42&lt;0.05,'Test Results'!E66&lt;0.05),"All headline tests in this sample are statistically significant at the 5% level.","One or more headline tests are not statistically significant at the 5% level.")</f>
        <v>#NAME?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ht="24" customHeight="1" x14ac:dyDescent="0.3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t="24" customHeight="1" x14ac:dyDescent="0.3"/>
    <row r="12" spans="1:12" ht="24" customHeight="1" x14ac:dyDescent="0.3"/>
    <row r="13" spans="1:12" ht="24" customHeight="1" x14ac:dyDescent="0.3"/>
    <row r="14" spans="1:12" ht="24" customHeight="1" x14ac:dyDescent="0.3"/>
    <row r="15" spans="1:12" ht="24" customHeight="1" x14ac:dyDescent="0.3"/>
    <row r="16" spans="1:12" ht="24" customHeight="1" x14ac:dyDescent="0.3"/>
    <row r="17" spans="1:12" ht="24" customHeight="1" x14ac:dyDescent="0.3"/>
    <row r="18" spans="1:12" ht="24" customHeight="1" x14ac:dyDescent="0.3"/>
    <row r="19" spans="1:12" ht="24" customHeight="1" x14ac:dyDescent="0.3"/>
    <row r="20" spans="1:12" ht="24" customHeight="1" x14ac:dyDescent="0.3"/>
    <row r="21" spans="1:12" ht="24" customHeight="1" x14ac:dyDescent="0.3">
      <c r="A21" s="101" t="s">
        <v>374</v>
      </c>
      <c r="B21" s="102"/>
      <c r="C21" s="102"/>
      <c r="D21" s="102"/>
      <c r="E21" s="102"/>
      <c r="F21" s="103"/>
      <c r="G21" s="64" t="s">
        <v>375</v>
      </c>
      <c r="H21" s="36"/>
      <c r="I21" s="36"/>
      <c r="J21" s="36"/>
      <c r="K21" s="36"/>
      <c r="L21" s="37"/>
    </row>
    <row r="22" spans="1:12" ht="24" customHeight="1" x14ac:dyDescent="0.3">
      <c r="A22" s="104"/>
      <c r="B22" s="105"/>
      <c r="C22" s="105"/>
      <c r="D22" s="105"/>
      <c r="E22" s="105"/>
      <c r="F22" s="106"/>
      <c r="G22" s="38"/>
      <c r="H22" s="39"/>
      <c r="I22" s="39"/>
      <c r="J22" s="39"/>
      <c r="K22" s="39"/>
      <c r="L22" s="40"/>
    </row>
    <row r="23" spans="1:12" ht="24" customHeight="1" x14ac:dyDescent="0.3"/>
    <row r="24" spans="1:12" ht="24" customHeight="1" x14ac:dyDescent="0.3"/>
    <row r="25" spans="1:12" ht="24" customHeight="1" x14ac:dyDescent="0.3"/>
    <row r="26" spans="1:12" ht="24" customHeight="1" x14ac:dyDescent="0.3"/>
    <row r="27" spans="1:12" ht="24" customHeight="1" x14ac:dyDescent="0.3"/>
    <row r="28" spans="1:12" ht="24" customHeight="1" x14ac:dyDescent="0.3"/>
    <row r="29" spans="1:12" ht="24" customHeight="1" x14ac:dyDescent="0.3"/>
    <row r="30" spans="1:12" ht="24" customHeight="1" x14ac:dyDescent="0.3"/>
    <row r="31" spans="1:12" ht="24" customHeight="1" x14ac:dyDescent="0.3"/>
    <row r="32" spans="1:12" ht="24" customHeight="1" x14ac:dyDescent="0.3">
      <c r="A32" s="89" t="s">
        <v>376</v>
      </c>
      <c r="B32" s="90"/>
      <c r="C32" s="90"/>
      <c r="D32" s="90"/>
      <c r="E32" s="90"/>
      <c r="F32" s="91"/>
      <c r="G32" s="95" t="s">
        <v>377</v>
      </c>
      <c r="H32" s="96"/>
      <c r="I32" s="96"/>
      <c r="J32" s="96"/>
      <c r="K32" s="96"/>
      <c r="L32" s="97"/>
    </row>
    <row r="33" spans="1:12" ht="24" customHeight="1" x14ac:dyDescent="0.3">
      <c r="A33" s="92"/>
      <c r="B33" s="93"/>
      <c r="C33" s="93"/>
      <c r="D33" s="93"/>
      <c r="E33" s="93"/>
      <c r="F33" s="94"/>
      <c r="G33" s="98"/>
      <c r="H33" s="99"/>
      <c r="I33" s="99"/>
      <c r="J33" s="99"/>
      <c r="K33" s="99"/>
      <c r="L33" s="100"/>
    </row>
    <row r="34" spans="1:12" ht="24" customHeight="1" x14ac:dyDescent="0.3"/>
  </sheetData>
  <mergeCells count="14">
    <mergeCell ref="A32:F33"/>
    <mergeCell ref="G32:L33"/>
    <mergeCell ref="A21:F22"/>
    <mergeCell ref="A1:L2"/>
    <mergeCell ref="A4:C5"/>
    <mergeCell ref="G4:I5"/>
    <mergeCell ref="D4:F5"/>
    <mergeCell ref="J4:L5"/>
    <mergeCell ref="A9:L10"/>
    <mergeCell ref="G21:L22"/>
    <mergeCell ref="A6:C7"/>
    <mergeCell ref="G6:I7"/>
    <mergeCell ref="D6:F7"/>
    <mergeCell ref="J6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Read Me</vt:lpstr>
      <vt:lpstr>Data Dictionary</vt:lpstr>
      <vt:lpstr>Raw Data</vt:lpstr>
      <vt:lpstr>Data Quality</vt:lpstr>
      <vt:lpstr>Descriptive Stats</vt:lpstr>
      <vt:lpstr>Test Results</vt:lpstr>
      <vt:lpstr>Interpretation Notes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editor</cp:lastModifiedBy>
  <dcterms:modified xsi:type="dcterms:W3CDTF">2026-03-07T11:12:53Z</dcterms:modified>
</cp:coreProperties>
</file>